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oxal\Desktop\school\year 3\MPD\data\"/>
    </mc:Choice>
  </mc:AlternateContent>
  <xr:revisionPtr revIDLastSave="0" documentId="13_ncr:1_{78853CF0-F8C9-434F-B861-269450901B61}" xr6:coauthVersionLast="47" xr6:coauthVersionMax="47" xr10:uidLastSave="{00000000-0000-0000-0000-000000000000}"/>
  <bookViews>
    <workbookView xWindow="-108" yWindow="-108" windowWidth="23256" windowHeight="13176" firstSheet="9" activeTab="15" xr2:uid="{00000000-000D-0000-FFFF-FFFF00000000}"/>
  </bookViews>
  <sheets>
    <sheet name="No_sample" sheetId="10" r:id="rId1"/>
    <sheet name="W2Al2_up" sheetId="1" r:id="rId2"/>
    <sheet name="W2Al2_down" sheetId="3" r:id="rId3"/>
    <sheet name="W2Cu3_up" sheetId="4" r:id="rId4"/>
    <sheet name="W2Cu3_down" sheetId="5" r:id="rId5"/>
    <sheet name="W2Al4_down" sheetId="6" r:id="rId6"/>
    <sheet name="W2Al5_up" sheetId="8" r:id="rId7"/>
    <sheet name="W2Al5_down" sheetId="9" r:id="rId8"/>
    <sheet name="W2Al6_up" sheetId="7" r:id="rId9"/>
    <sheet name="W2Al6_down" sheetId="11" r:id="rId10"/>
    <sheet name="W2Al7_up" sheetId="13" r:id="rId11"/>
    <sheet name="W2Al7_down" sheetId="12" r:id="rId12"/>
    <sheet name="W2Al8_up" sheetId="14" r:id="rId13"/>
    <sheet name="W2Al8_down" sheetId="15" r:id="rId14"/>
    <sheet name="W2Al9_up" sheetId="16" r:id="rId15"/>
    <sheet name="W2Al9_down" sheetId="1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6" l="1"/>
  <c r="L22" i="17"/>
  <c r="F22" i="17"/>
  <c r="L21" i="17"/>
  <c r="F21" i="17"/>
  <c r="L20" i="17"/>
  <c r="F20" i="17"/>
  <c r="L19" i="17"/>
  <c r="F19" i="17"/>
  <c r="L14" i="17"/>
  <c r="F14" i="17"/>
  <c r="L13" i="17"/>
  <c r="F13" i="17"/>
  <c r="L12" i="17"/>
  <c r="L15" i="17" s="1"/>
  <c r="F12" i="17"/>
  <c r="F15" i="17" s="1"/>
  <c r="L11" i="17"/>
  <c r="F11" i="17"/>
  <c r="L6" i="17"/>
  <c r="F6" i="17"/>
  <c r="L5" i="17"/>
  <c r="F5" i="17"/>
  <c r="L4" i="17"/>
  <c r="F4" i="17"/>
  <c r="L3" i="17"/>
  <c r="F3" i="17"/>
  <c r="R2" i="17"/>
  <c r="L22" i="16"/>
  <c r="F22" i="16"/>
  <c r="L21" i="16"/>
  <c r="F21" i="16"/>
  <c r="L20" i="16"/>
  <c r="L23" i="16" s="1"/>
  <c r="F20" i="16"/>
  <c r="L19" i="16"/>
  <c r="F19" i="16"/>
  <c r="L14" i="16"/>
  <c r="F14" i="16"/>
  <c r="L13" i="16"/>
  <c r="F13" i="16"/>
  <c r="L12" i="16"/>
  <c r="F12" i="16"/>
  <c r="L11" i="16"/>
  <c r="F11" i="16"/>
  <c r="L6" i="16"/>
  <c r="F6" i="16"/>
  <c r="L5" i="16"/>
  <c r="F5" i="16"/>
  <c r="F4" i="16"/>
  <c r="L3" i="16"/>
  <c r="F3" i="16"/>
  <c r="R2" i="16"/>
  <c r="L22" i="15"/>
  <c r="F22" i="15"/>
  <c r="L21" i="15"/>
  <c r="F21" i="15"/>
  <c r="L20" i="15"/>
  <c r="F20" i="15"/>
  <c r="L19" i="15"/>
  <c r="L23" i="15" s="1"/>
  <c r="F19" i="15"/>
  <c r="F23" i="15" s="1"/>
  <c r="L14" i="15"/>
  <c r="F14" i="15"/>
  <c r="L13" i="15"/>
  <c r="F13" i="15"/>
  <c r="L12" i="15"/>
  <c r="F12" i="15"/>
  <c r="L11" i="15"/>
  <c r="L15" i="15" s="1"/>
  <c r="F11" i="15"/>
  <c r="F15" i="15" s="1"/>
  <c r="L6" i="15"/>
  <c r="F6" i="15"/>
  <c r="L5" i="15"/>
  <c r="F5" i="15"/>
  <c r="L4" i="15"/>
  <c r="F4" i="15"/>
  <c r="L3" i="15"/>
  <c r="F3" i="15"/>
  <c r="R2" i="15"/>
  <c r="L22" i="14"/>
  <c r="F22" i="14"/>
  <c r="L21" i="14"/>
  <c r="F21" i="14"/>
  <c r="L20" i="14"/>
  <c r="F20" i="14"/>
  <c r="L19" i="14"/>
  <c r="F19" i="14"/>
  <c r="L14" i="14"/>
  <c r="F14" i="14"/>
  <c r="L13" i="14"/>
  <c r="F13" i="14"/>
  <c r="L12" i="14"/>
  <c r="F12" i="14"/>
  <c r="L11" i="14"/>
  <c r="L15" i="14" s="1"/>
  <c r="F11" i="14"/>
  <c r="L6" i="14"/>
  <c r="F6" i="14"/>
  <c r="L5" i="14"/>
  <c r="F5" i="14"/>
  <c r="L4" i="14"/>
  <c r="F4" i="14"/>
  <c r="L3" i="14"/>
  <c r="F3" i="14"/>
  <c r="R2" i="14"/>
  <c r="L22" i="13"/>
  <c r="F22" i="13"/>
  <c r="L21" i="13"/>
  <c r="F21" i="13"/>
  <c r="L20" i="13"/>
  <c r="F20" i="13"/>
  <c r="L19" i="13"/>
  <c r="F19" i="13"/>
  <c r="L14" i="13"/>
  <c r="F14" i="13"/>
  <c r="L13" i="13"/>
  <c r="F13" i="13"/>
  <c r="L12" i="13"/>
  <c r="F12" i="13"/>
  <c r="L11" i="13"/>
  <c r="L15" i="13" s="1"/>
  <c r="F11" i="13"/>
  <c r="F15" i="13" s="1"/>
  <c r="L6" i="13"/>
  <c r="F6" i="13"/>
  <c r="L5" i="13"/>
  <c r="F5" i="13"/>
  <c r="L4" i="13"/>
  <c r="F4" i="13"/>
  <c r="L3" i="13"/>
  <c r="F3" i="13"/>
  <c r="F7" i="13" s="1"/>
  <c r="R2" i="13"/>
  <c r="L22" i="12"/>
  <c r="F22" i="12"/>
  <c r="L21" i="12"/>
  <c r="F21" i="12"/>
  <c r="L20" i="12"/>
  <c r="F20" i="12"/>
  <c r="L19" i="12"/>
  <c r="F19" i="12"/>
  <c r="L14" i="12"/>
  <c r="F14" i="12"/>
  <c r="L13" i="12"/>
  <c r="F13" i="12"/>
  <c r="L12" i="12"/>
  <c r="F12" i="12"/>
  <c r="L11" i="12"/>
  <c r="F11" i="12"/>
  <c r="F15" i="12" s="1"/>
  <c r="L6" i="12"/>
  <c r="F6" i="12"/>
  <c r="L5" i="12"/>
  <c r="F5" i="12"/>
  <c r="L4" i="12"/>
  <c r="F4" i="12"/>
  <c r="L3" i="12"/>
  <c r="F3" i="12"/>
  <c r="R2" i="12"/>
  <c r="L22" i="11"/>
  <c r="F22" i="11"/>
  <c r="L21" i="11"/>
  <c r="F21" i="11"/>
  <c r="L20" i="11"/>
  <c r="F20" i="11"/>
  <c r="L19" i="11"/>
  <c r="L23" i="11" s="1"/>
  <c r="F19" i="11"/>
  <c r="L15" i="11"/>
  <c r="F15" i="11"/>
  <c r="L14" i="11"/>
  <c r="F14" i="11"/>
  <c r="L13" i="11"/>
  <c r="F13" i="11"/>
  <c r="L12" i="11"/>
  <c r="F12" i="11"/>
  <c r="L11" i="11"/>
  <c r="F11" i="11"/>
  <c r="L6" i="11"/>
  <c r="F6" i="11"/>
  <c r="L5" i="11"/>
  <c r="F5" i="11"/>
  <c r="L4" i="11"/>
  <c r="F4" i="11"/>
  <c r="L3" i="11"/>
  <c r="L7" i="11" s="1"/>
  <c r="F3" i="11"/>
  <c r="F7" i="11" s="1"/>
  <c r="R2" i="11"/>
  <c r="L22" i="10"/>
  <c r="F22" i="10"/>
  <c r="L21" i="10"/>
  <c r="F21" i="10"/>
  <c r="L20" i="10"/>
  <c r="F20" i="10"/>
  <c r="L19" i="10"/>
  <c r="L23" i="10" s="1"/>
  <c r="F19" i="10"/>
  <c r="F23" i="10" s="1"/>
  <c r="L14" i="10"/>
  <c r="F14" i="10"/>
  <c r="L13" i="10"/>
  <c r="F13" i="10"/>
  <c r="L12" i="10"/>
  <c r="F12" i="10"/>
  <c r="L11" i="10"/>
  <c r="L15" i="10" s="1"/>
  <c r="F11" i="10"/>
  <c r="F15" i="10" s="1"/>
  <c r="L7" i="10"/>
  <c r="F7" i="10"/>
  <c r="L6" i="10"/>
  <c r="F6" i="10"/>
  <c r="L5" i="10"/>
  <c r="F5" i="10"/>
  <c r="L4" i="10"/>
  <c r="F4" i="10"/>
  <c r="L3" i="10"/>
  <c r="F3" i="10"/>
  <c r="R2" i="10"/>
  <c r="L6" i="9"/>
  <c r="L6" i="6"/>
  <c r="F4" i="9"/>
  <c r="F5" i="9"/>
  <c r="F6" i="9"/>
  <c r="F3" i="9"/>
  <c r="F7" i="9" s="1"/>
  <c r="L22" i="9"/>
  <c r="F22" i="9"/>
  <c r="L21" i="9"/>
  <c r="F21" i="9"/>
  <c r="L20" i="9"/>
  <c r="F20" i="9"/>
  <c r="L19" i="9"/>
  <c r="N19" i="9" s="1"/>
  <c r="F19" i="9"/>
  <c r="F23" i="9" s="1"/>
  <c r="L14" i="9"/>
  <c r="F14" i="9"/>
  <c r="L13" i="9"/>
  <c r="F13" i="9"/>
  <c r="L12" i="9"/>
  <c r="L15" i="9" s="1"/>
  <c r="F12" i="9"/>
  <c r="L11" i="9"/>
  <c r="N11" i="9" s="1"/>
  <c r="F11" i="9"/>
  <c r="L5" i="9"/>
  <c r="L4" i="9"/>
  <c r="L3" i="9"/>
  <c r="R2" i="9"/>
  <c r="L22" i="8"/>
  <c r="F22" i="8"/>
  <c r="L21" i="8"/>
  <c r="F21" i="8"/>
  <c r="L20" i="8"/>
  <c r="F20" i="8"/>
  <c r="L19" i="8"/>
  <c r="L23" i="8" s="1"/>
  <c r="F19" i="8"/>
  <c r="L14" i="8"/>
  <c r="F14" i="8"/>
  <c r="L13" i="8"/>
  <c r="F13" i="8"/>
  <c r="L12" i="8"/>
  <c r="F12" i="8"/>
  <c r="L11" i="8"/>
  <c r="F11" i="8"/>
  <c r="F6" i="8"/>
  <c r="L5" i="8"/>
  <c r="F5" i="8"/>
  <c r="L4" i="8"/>
  <c r="L7" i="8" s="1"/>
  <c r="F4" i="8"/>
  <c r="L3" i="8"/>
  <c r="F3" i="8"/>
  <c r="R2" i="8"/>
  <c r="F11" i="6"/>
  <c r="L4" i="6"/>
  <c r="L22" i="7"/>
  <c r="F22" i="7"/>
  <c r="L21" i="7"/>
  <c r="F21" i="7"/>
  <c r="L20" i="7"/>
  <c r="F20" i="7"/>
  <c r="F23" i="7" s="1"/>
  <c r="L19" i="7"/>
  <c r="F19" i="7"/>
  <c r="L14" i="7"/>
  <c r="F14" i="7"/>
  <c r="L13" i="7"/>
  <c r="F13" i="7"/>
  <c r="L12" i="7"/>
  <c r="F12" i="7"/>
  <c r="L11" i="7"/>
  <c r="F11" i="7"/>
  <c r="F15" i="7" s="1"/>
  <c r="L6" i="7"/>
  <c r="F6" i="7"/>
  <c r="L5" i="7"/>
  <c r="F5" i="7"/>
  <c r="L4" i="7"/>
  <c r="F4" i="7"/>
  <c r="L3" i="7"/>
  <c r="F3" i="7"/>
  <c r="R2" i="7"/>
  <c r="L22" i="6"/>
  <c r="F22" i="6"/>
  <c r="L21" i="6"/>
  <c r="F21" i="6"/>
  <c r="L20" i="6"/>
  <c r="F20" i="6"/>
  <c r="L19" i="6"/>
  <c r="N19" i="6" s="1"/>
  <c r="F19" i="6"/>
  <c r="L14" i="6"/>
  <c r="F14" i="6"/>
  <c r="F15" i="6" s="1"/>
  <c r="L13" i="6"/>
  <c r="F13" i="6"/>
  <c r="L12" i="6"/>
  <c r="F12" i="6"/>
  <c r="L11" i="6"/>
  <c r="L15" i="6" s="1"/>
  <c r="F6" i="6"/>
  <c r="L5" i="6"/>
  <c r="F5" i="6"/>
  <c r="F4" i="6"/>
  <c r="L3" i="6"/>
  <c r="F3" i="6"/>
  <c r="R2" i="6"/>
  <c r="L22" i="5"/>
  <c r="F22" i="5"/>
  <c r="L21" i="5"/>
  <c r="F21" i="5"/>
  <c r="L20" i="5"/>
  <c r="F20" i="5"/>
  <c r="L19" i="5"/>
  <c r="L23" i="5" s="1"/>
  <c r="F19" i="5"/>
  <c r="F23" i="5" s="1"/>
  <c r="L14" i="5"/>
  <c r="F14" i="5"/>
  <c r="L13" i="5"/>
  <c r="F13" i="5"/>
  <c r="L12" i="5"/>
  <c r="F12" i="5"/>
  <c r="F15" i="5" s="1"/>
  <c r="L11" i="5"/>
  <c r="L15" i="5" s="1"/>
  <c r="F11" i="5"/>
  <c r="L6" i="5"/>
  <c r="F6" i="5"/>
  <c r="L5" i="5"/>
  <c r="F5" i="5"/>
  <c r="L4" i="5"/>
  <c r="F4" i="5"/>
  <c r="L3" i="5"/>
  <c r="L7" i="5" s="1"/>
  <c r="F3" i="5"/>
  <c r="R2" i="5"/>
  <c r="L23" i="4"/>
  <c r="L22" i="4"/>
  <c r="F22" i="4"/>
  <c r="L21" i="4"/>
  <c r="F21" i="4"/>
  <c r="L20" i="4"/>
  <c r="F20" i="4"/>
  <c r="F23" i="4" s="1"/>
  <c r="L19" i="4"/>
  <c r="F19" i="4"/>
  <c r="L14" i="4"/>
  <c r="F14" i="4"/>
  <c r="L13" i="4"/>
  <c r="F13" i="4"/>
  <c r="L12" i="4"/>
  <c r="F12" i="4"/>
  <c r="L11" i="4"/>
  <c r="L15" i="4" s="1"/>
  <c r="F11" i="4"/>
  <c r="F15" i="4" s="1"/>
  <c r="L6" i="4"/>
  <c r="F6" i="4"/>
  <c r="L5" i="4"/>
  <c r="F5" i="4"/>
  <c r="L4" i="4"/>
  <c r="F4" i="4"/>
  <c r="L3" i="4"/>
  <c r="F3" i="4"/>
  <c r="F7" i="4" s="1"/>
  <c r="R2" i="4"/>
  <c r="F14" i="3"/>
  <c r="L22" i="3"/>
  <c r="F22" i="3"/>
  <c r="L21" i="3"/>
  <c r="F21" i="3"/>
  <c r="L20" i="3"/>
  <c r="F20" i="3"/>
  <c r="L19" i="3"/>
  <c r="L23" i="3" s="1"/>
  <c r="F19" i="3"/>
  <c r="L15" i="3"/>
  <c r="L14" i="3"/>
  <c r="L13" i="3"/>
  <c r="F13" i="3"/>
  <c r="L12" i="3"/>
  <c r="F12" i="3"/>
  <c r="L11" i="3"/>
  <c r="F11" i="3"/>
  <c r="L7" i="3"/>
  <c r="L6" i="3"/>
  <c r="F6" i="3"/>
  <c r="L5" i="3"/>
  <c r="F5" i="3"/>
  <c r="L4" i="3"/>
  <c r="F4" i="3"/>
  <c r="L3" i="3"/>
  <c r="F3" i="3"/>
  <c r="R2" i="3"/>
  <c r="R2" i="1"/>
  <c r="L23" i="1"/>
  <c r="L22" i="1"/>
  <c r="L21" i="1"/>
  <c r="L20" i="1"/>
  <c r="L19" i="1"/>
  <c r="L15" i="1"/>
  <c r="L14" i="1"/>
  <c r="L13" i="1"/>
  <c r="L12" i="1"/>
  <c r="L11" i="1"/>
  <c r="L6" i="1"/>
  <c r="L5" i="1"/>
  <c r="L4" i="1"/>
  <c r="L3" i="1"/>
  <c r="L7" i="1" s="1"/>
  <c r="F23" i="1"/>
  <c r="F22" i="1"/>
  <c r="F21" i="1"/>
  <c r="F20" i="1"/>
  <c r="F19" i="1"/>
  <c r="F14" i="1"/>
  <c r="F13" i="1"/>
  <c r="F12" i="1"/>
  <c r="F11" i="1"/>
  <c r="F15" i="1" s="1"/>
  <c r="F4" i="1"/>
  <c r="F5" i="1"/>
  <c r="F6" i="1"/>
  <c r="F3" i="1"/>
  <c r="F7" i="1" s="1"/>
  <c r="F23" i="17" l="1"/>
  <c r="F7" i="17"/>
  <c r="L7" i="17"/>
  <c r="F23" i="16"/>
  <c r="F15" i="16"/>
  <c r="F7" i="16"/>
  <c r="L7" i="16"/>
  <c r="L15" i="16"/>
  <c r="L23" i="17"/>
  <c r="F7" i="15"/>
  <c r="L7" i="15"/>
  <c r="F23" i="14"/>
  <c r="F15" i="14"/>
  <c r="F7" i="14"/>
  <c r="L7" i="14"/>
  <c r="L23" i="14"/>
  <c r="F23" i="12"/>
  <c r="F7" i="12"/>
  <c r="L7" i="12"/>
  <c r="L15" i="12"/>
  <c r="L23" i="12"/>
  <c r="F23" i="13"/>
  <c r="L7" i="13"/>
  <c r="L23" i="13"/>
  <c r="F23" i="11"/>
  <c r="F7" i="7"/>
  <c r="L7" i="7"/>
  <c r="L15" i="7"/>
  <c r="L23" i="7"/>
  <c r="L7" i="9"/>
  <c r="F23" i="8"/>
  <c r="F15" i="8"/>
  <c r="L15" i="8"/>
  <c r="F7" i="8"/>
  <c r="L23" i="9"/>
  <c r="F15" i="9"/>
  <c r="F23" i="6"/>
  <c r="N11" i="6"/>
  <c r="F7" i="6"/>
  <c r="L7" i="6"/>
  <c r="L23" i="6"/>
  <c r="F7" i="5"/>
  <c r="L7" i="4"/>
  <c r="F23" i="3"/>
  <c r="F15" i="3"/>
  <c r="F7" i="3"/>
</calcChain>
</file>

<file path=xl/sharedStrings.xml><?xml version="1.0" encoding="utf-8"?>
<sst xmlns="http://schemas.openxmlformats.org/spreadsheetml/2006/main" count="1623" uniqueCount="54">
  <si>
    <t>Gang A</t>
  </si>
  <si>
    <t>Gang B</t>
  </si>
  <si>
    <t>Gang C</t>
  </si>
  <si>
    <t>Gang A+B</t>
  </si>
  <si>
    <t>Gang B+C</t>
  </si>
  <si>
    <t>Gang A+B+C</t>
  </si>
  <si>
    <t>I-pads</t>
  </si>
  <si>
    <t>V-pads</t>
  </si>
  <si>
    <t>1,2</t>
  </si>
  <si>
    <t>5,6</t>
  </si>
  <si>
    <t>1,6</t>
  </si>
  <si>
    <t>2,5</t>
  </si>
  <si>
    <t>2,3</t>
  </si>
  <si>
    <t>6,7</t>
  </si>
  <si>
    <t>2,7</t>
  </si>
  <si>
    <t>6,3</t>
  </si>
  <si>
    <t>Current [mA]</t>
  </si>
  <si>
    <t>Voltage [ V ]</t>
  </si>
  <si>
    <t>mean</t>
  </si>
  <si>
    <r>
      <t>Resistance 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  <scheme val="minor"/>
      </rPr>
      <t>]</t>
    </r>
  </si>
  <si>
    <t>3,4</t>
  </si>
  <si>
    <t>7,8</t>
  </si>
  <si>
    <t>3,8</t>
  </si>
  <si>
    <t>4,7</t>
  </si>
  <si>
    <t>1,3</t>
  </si>
  <si>
    <t>5,7</t>
  </si>
  <si>
    <t>1,7</t>
  </si>
  <si>
    <t>3,5</t>
  </si>
  <si>
    <t>2,4</t>
  </si>
  <si>
    <t>6,8</t>
  </si>
  <si>
    <t>2,8</t>
  </si>
  <si>
    <t>4,6</t>
  </si>
  <si>
    <t>1,4</t>
  </si>
  <si>
    <t>5,8</t>
  </si>
  <si>
    <t>1,8</t>
  </si>
  <si>
    <t>4,5</t>
  </si>
  <si>
    <t>A</t>
  </si>
  <si>
    <t>B</t>
  </si>
  <si>
    <t>C</t>
  </si>
  <si>
    <t>A+B</t>
  </si>
  <si>
    <t>B+C</t>
  </si>
  <si>
    <t>A+B+C</t>
  </si>
  <si>
    <r>
      <t>length [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m</t>
    </r>
    <r>
      <rPr>
        <sz val="11"/>
        <color theme="1"/>
        <rFont val="Calibri"/>
        <family val="2"/>
        <scheme val="minor"/>
      </rPr>
      <t>]</t>
    </r>
  </si>
  <si>
    <t>width [μm]</t>
  </si>
  <si>
    <t>height [nm]</t>
  </si>
  <si>
    <r>
      <t>expected resistance [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  <scheme val="minor"/>
      </rPr>
      <t>]</t>
    </r>
  </si>
  <si>
    <t>expected resistivity</t>
  </si>
  <si>
    <t>Pad 8 broke</t>
  </si>
  <si>
    <t>Gang C doorgebroken</t>
  </si>
  <si>
    <t>Door fout gang b doorgebroken</t>
  </si>
  <si>
    <t>Gang A doorgebroken</t>
  </si>
  <si>
    <t>Gang C stuk</t>
  </si>
  <si>
    <t>Gang B bij plaatsen probes gebroken :(</t>
  </si>
  <si>
    <t>gang C gebroken :(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</si>
</sst>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6" borderId="1" xfId="0" applyFill="1" applyBorder="1"/>
    <xf numFmtId="0" fontId="0" fillId="2" borderId="4" xfId="0" applyFill="1" applyBorder="1"/>
    <xf numFmtId="2" fontId="0" fillId="5" borderId="1" xfId="0" applyNumberFormat="1" applyFill="1" applyBorder="1"/>
    <xf numFmtId="164" fontId="0" fillId="0" borderId="0" xfId="0" applyNumberFormat="1"/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center"/>
    </xf>
    <xf numFmtId="11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4" borderId="1" xfId="0" applyNumberFormat="1" applyFill="1" applyBorder="1"/>
    <xf numFmtId="166" fontId="0" fillId="3" borderId="1" xfId="0" applyNumberForma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AD5F-975F-4B8A-B288-76559ED2BE64}">
  <dimension ref="B1:R23"/>
  <sheetViews>
    <sheetView workbookViewId="0">
      <selection activeCell="D26" sqref="D26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/>
      <c r="E3" s="3"/>
      <c r="F3" s="5" t="e">
        <f>E3/(D3*10^(-3))</f>
        <v>#DIV/0!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/>
      <c r="E4" s="3"/>
      <c r="F4" s="5" t="e">
        <f t="shared" ref="F4:F6" si="0">E4/(D4*10^(-3))</f>
        <v>#DIV/0!</v>
      </c>
      <c r="H4" s="1" t="s">
        <v>25</v>
      </c>
      <c r="I4" s="1" t="s">
        <v>24</v>
      </c>
      <c r="J4" s="2"/>
      <c r="K4" s="3"/>
      <c r="L4" s="5" t="e">
        <f t="shared" ref="L4:L6" si="1">K4/(J4*10^(-3))</f>
        <v>#DIV/0!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/>
      <c r="E5" s="3"/>
      <c r="F5" s="5" t="e">
        <f t="shared" si="0"/>
        <v>#DIV/0!</v>
      </c>
      <c r="H5" s="1" t="s">
        <v>26</v>
      </c>
      <c r="I5" s="1" t="s">
        <v>27</v>
      </c>
      <c r="J5" s="2"/>
      <c r="K5" s="3"/>
      <c r="L5" s="5" t="e">
        <f t="shared" si="1"/>
        <v>#DIV/0!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/>
      <c r="E6" s="3"/>
      <c r="F6" s="5" t="e">
        <f t="shared" si="0"/>
        <v>#DIV/0!</v>
      </c>
      <c r="H6" s="1" t="s">
        <v>27</v>
      </c>
      <c r="I6" s="1" t="s">
        <v>26</v>
      </c>
      <c r="J6" s="2"/>
      <c r="K6" s="3"/>
      <c r="L6" s="5" t="e">
        <f t="shared" si="1"/>
        <v>#DIV/0!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 t="e">
        <f>AVERAGE(F3:F6)</f>
        <v>#DIV/0!</v>
      </c>
      <c r="H7" s="12" t="s">
        <v>18</v>
      </c>
      <c r="I7" s="12"/>
      <c r="J7" s="12"/>
      <c r="K7" s="12"/>
      <c r="L7" s="5" t="e">
        <f>AVERAGE(L3:L6)</f>
        <v>#DIV/0!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/>
      <c r="E11" s="3"/>
      <c r="F11" s="5" t="e">
        <f>E11/(D11*10^(-3))</f>
        <v>#DIV/0!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/>
      <c r="E12" s="3"/>
      <c r="F12" s="5" t="e">
        <f t="shared" ref="F12:F14" si="2">E12/(D12*10^(-3))</f>
        <v>#DIV/0!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/>
      <c r="E13" s="3"/>
      <c r="F13" s="5" t="e">
        <f t="shared" si="2"/>
        <v>#DIV/0!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/>
      <c r="E14" s="3"/>
      <c r="F14" s="5" t="e">
        <f t="shared" si="2"/>
        <v>#DIV/0!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 t="e">
        <f>AVERAGE(F11:F14)</f>
        <v>#DIV/0!</v>
      </c>
      <c r="H15" s="12" t="s">
        <v>18</v>
      </c>
      <c r="I15" s="12"/>
      <c r="J15" s="12"/>
      <c r="K15" s="12"/>
      <c r="L15" s="5" t="e">
        <f>AVERAGE(L11:L14)</f>
        <v>#DIV/0!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/>
      <c r="E19" s="3"/>
      <c r="F19" s="5" t="e">
        <f>E19/(D19*10^(-3))</f>
        <v>#DIV/0!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/>
      <c r="E20" s="3"/>
      <c r="F20" s="5" t="e">
        <f t="shared" ref="F20:F22" si="4">E20/(D20*10^(-3))</f>
        <v>#DIV/0!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/>
      <c r="E21" s="3"/>
      <c r="F21" s="5" t="e">
        <f t="shared" si="4"/>
        <v>#DIV/0!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/>
      <c r="E22" s="3"/>
      <c r="F22" s="5" t="e">
        <f t="shared" si="4"/>
        <v>#DIV/0!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 t="e">
        <f>AVERAGE(F19:F22)</f>
        <v>#DIV/0!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3"/>
  <sheetViews>
    <sheetView workbookViewId="0">
      <selection activeCell="A25" sqref="A25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20.5</v>
      </c>
      <c r="E3" s="3">
        <v>0.109</v>
      </c>
      <c r="F3" s="5">
        <f>E3/(D3*10^(-3))</f>
        <v>5.3170731707317067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20.010000000000002</v>
      </c>
      <c r="E4" s="3">
        <v>0.106</v>
      </c>
      <c r="F4" s="5">
        <f t="shared" ref="F4:F6" si="0">E4/(D4*10^(-3))</f>
        <v>5.2973513243378303</v>
      </c>
      <c r="H4" s="1" t="s">
        <v>25</v>
      </c>
      <c r="I4" s="1" t="s">
        <v>24</v>
      </c>
      <c r="J4" s="2"/>
      <c r="K4" s="3"/>
      <c r="L4" s="5" t="e">
        <f t="shared" ref="L4:L6" si="1">K4/(J4*10^(-3))</f>
        <v>#DIV/0!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20.059999999999999</v>
      </c>
      <c r="E5" s="3">
        <v>0.10780000000000001</v>
      </c>
      <c r="F5" s="5">
        <f t="shared" si="0"/>
        <v>5.373878364905285</v>
      </c>
      <c r="H5" s="1" t="s">
        <v>26</v>
      </c>
      <c r="I5" s="1" t="s">
        <v>27</v>
      </c>
      <c r="J5" s="2"/>
      <c r="K5" s="3"/>
      <c r="L5" s="5" t="e">
        <f t="shared" si="1"/>
        <v>#DIV/0!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20</v>
      </c>
      <c r="E6" s="3">
        <v>0.1066</v>
      </c>
      <c r="F6" s="5">
        <f t="shared" si="0"/>
        <v>5.33</v>
      </c>
      <c r="H6" s="1" t="s">
        <v>27</v>
      </c>
      <c r="I6" s="1" t="s">
        <v>26</v>
      </c>
      <c r="J6" s="2"/>
      <c r="K6" s="3"/>
      <c r="L6" s="5" t="e">
        <f t="shared" si="1"/>
        <v>#DIV/0!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5.3295757149937053</v>
      </c>
      <c r="H7" s="12" t="s">
        <v>18</v>
      </c>
      <c r="I7" s="12"/>
      <c r="J7" s="12"/>
      <c r="K7" s="12"/>
      <c r="L7" s="5" t="e">
        <f>AVERAGE(L3:L6)</f>
        <v>#DIV/0!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/>
      <c r="E11" s="3"/>
      <c r="F11" s="5" t="e">
        <f>E11/(D11*10^(-3))</f>
        <v>#DIV/0!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/>
      <c r="E12" s="3"/>
      <c r="F12" s="5" t="e">
        <f t="shared" ref="F12:F14" si="2">E12/(D12*10^(-3))</f>
        <v>#DIV/0!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/>
      <c r="E13" s="3"/>
      <c r="F13" s="5" t="e">
        <f t="shared" si="2"/>
        <v>#DIV/0!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/>
      <c r="E14" s="3"/>
      <c r="F14" s="5" t="e">
        <f t="shared" si="2"/>
        <v>#DIV/0!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 t="e">
        <f>AVERAGE(F11:F14)</f>
        <v>#DIV/0!</v>
      </c>
      <c r="H15" s="12" t="s">
        <v>18</v>
      </c>
      <c r="I15" s="12"/>
      <c r="J15" s="12"/>
      <c r="K15" s="12"/>
      <c r="L15" s="5" t="e">
        <f>AVERAGE(L11:L14)</f>
        <v>#DIV/0!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/>
      <c r="E19" s="3"/>
      <c r="F19" s="5" t="e">
        <f>E19/(D19*10^(-3))</f>
        <v>#DIV/0!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/>
      <c r="E20" s="3"/>
      <c r="F20" s="5" t="e">
        <f t="shared" ref="F20:F22" si="4">E20/(D20*10^(-3))</f>
        <v>#DIV/0!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/>
      <c r="E21" s="3"/>
      <c r="F21" s="5" t="e">
        <f t="shared" si="4"/>
        <v>#DIV/0!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/>
      <c r="E22" s="3"/>
      <c r="F22" s="5" t="e">
        <f t="shared" si="4"/>
        <v>#DIV/0!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 t="e">
        <f>AVERAGE(F19:F22)</f>
        <v>#DIV/0!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N9:O9"/>
    <mergeCell ref="N10:O10"/>
    <mergeCell ref="H1:L1"/>
    <mergeCell ref="H7:K7"/>
    <mergeCell ref="H9:L9"/>
    <mergeCell ref="H15:K15"/>
    <mergeCell ref="H17:L17"/>
    <mergeCell ref="H23:K23"/>
    <mergeCell ref="B1:F1"/>
    <mergeCell ref="B7:E7"/>
    <mergeCell ref="B9:F9"/>
    <mergeCell ref="B15:E15"/>
    <mergeCell ref="B17:F17"/>
    <mergeCell ref="B23:E2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ABC2-CEC7-4805-847E-986FE7B0AD7C}">
  <dimension ref="B1:R23"/>
  <sheetViews>
    <sheetView workbookViewId="0">
      <selection activeCell="F22" sqref="F22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20.074999999999999</v>
      </c>
      <c r="E3" s="3">
        <v>0.1166</v>
      </c>
      <c r="F3" s="5">
        <f>E3/(D3*10^(-3))</f>
        <v>5.8082191780821919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20.010000000000002</v>
      </c>
      <c r="E4" s="3">
        <v>0.1163</v>
      </c>
      <c r="F4" s="5">
        <f t="shared" ref="F4:F6" si="0">E4/(D4*10^(-3))</f>
        <v>5.8120939530234876</v>
      </c>
      <c r="H4" s="1" t="s">
        <v>25</v>
      </c>
      <c r="I4" s="1" t="s">
        <v>24</v>
      </c>
      <c r="J4" s="2"/>
      <c r="K4" s="3"/>
      <c r="L4" s="5" t="e">
        <f t="shared" ref="L4:L6" si="1">K4/(J4*10^(-3))</f>
        <v>#DIV/0!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20.093</v>
      </c>
      <c r="E5" s="3">
        <v>0.1167</v>
      </c>
      <c r="F5" s="5">
        <f t="shared" si="0"/>
        <v>5.8079928333250388</v>
      </c>
      <c r="H5" s="1" t="s">
        <v>26</v>
      </c>
      <c r="I5" s="1" t="s">
        <v>27</v>
      </c>
      <c r="J5" s="2"/>
      <c r="K5" s="3"/>
      <c r="L5" s="5" t="e">
        <f t="shared" si="1"/>
        <v>#DIV/0!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20.003</v>
      </c>
      <c r="E6" s="3">
        <v>0.1162</v>
      </c>
      <c r="F6" s="5">
        <f t="shared" si="0"/>
        <v>5.809128630705394</v>
      </c>
      <c r="H6" s="1" t="s">
        <v>27</v>
      </c>
      <c r="I6" s="1" t="s">
        <v>26</v>
      </c>
      <c r="J6" s="2"/>
      <c r="K6" s="3"/>
      <c r="L6" s="5" t="e">
        <f t="shared" si="1"/>
        <v>#DIV/0!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5.8093586487840279</v>
      </c>
      <c r="H7" s="12" t="s">
        <v>18</v>
      </c>
      <c r="I7" s="12"/>
      <c r="J7" s="12"/>
      <c r="K7" s="12"/>
      <c r="L7" s="5" t="e">
        <f>AVERAGE(L3:L6)</f>
        <v>#DIV/0!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20.081</v>
      </c>
      <c r="E11" s="3">
        <v>0.1236</v>
      </c>
      <c r="F11" s="5">
        <f>E11/(D11*10^(-3))</f>
        <v>6.1550719585677998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>
        <v>20.05</v>
      </c>
      <c r="E12" s="3">
        <v>0.1232</v>
      </c>
      <c r="F12" s="5">
        <f t="shared" ref="F12:F14" si="2">E12/(D12*10^(-3))</f>
        <v>6.1446384039900241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>
        <v>20.050999999999998</v>
      </c>
      <c r="E13" s="3">
        <v>0.1234</v>
      </c>
      <c r="F13" s="5">
        <f t="shared" si="2"/>
        <v>6.154306518378136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>
        <v>19.992999999999999</v>
      </c>
      <c r="E14" s="3">
        <v>0.1231</v>
      </c>
      <c r="F14" s="5">
        <f t="shared" si="2"/>
        <v>6.1571550042514875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6.1527929712968614</v>
      </c>
      <c r="H15" s="12" t="s">
        <v>18</v>
      </c>
      <c r="I15" s="12"/>
      <c r="J15" s="12"/>
      <c r="K15" s="12"/>
      <c r="L15" s="5" t="e">
        <f>AVERAGE(L11:L14)</f>
        <v>#DIV/0!</v>
      </c>
    </row>
    <row r="16" spans="2:18" x14ac:dyDescent="0.3">
      <c r="D16" t="s">
        <v>47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19.969000000000001</v>
      </c>
      <c r="E19" s="3">
        <v>0.21079999999999999</v>
      </c>
      <c r="F19" s="5">
        <f>E19/(D19*10^(-3))</f>
        <v>10.556362361660574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>
        <v>20.013999999999999</v>
      </c>
      <c r="E20" s="3">
        <v>0.2132</v>
      </c>
      <c r="F20" s="5">
        <f t="shared" ref="F20:F22" si="4">E20/(D20*10^(-3))</f>
        <v>10.652543219746178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>
        <v>20.035</v>
      </c>
      <c r="E21" s="3">
        <v>0.21290000000000001</v>
      </c>
      <c r="F21" s="5">
        <f t="shared" si="4"/>
        <v>10.626403793361616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>
        <v>19.939</v>
      </c>
      <c r="E22" s="3">
        <v>0.2102</v>
      </c>
      <c r="F22" s="5">
        <f t="shared" si="4"/>
        <v>10.542153568383569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10.594365735787985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0355-2786-4299-848C-01BF67D8B06C}">
  <dimension ref="B1:R23"/>
  <sheetViews>
    <sheetView workbookViewId="0">
      <selection activeCell="P19" sqref="P19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2.2400000000000002</v>
      </c>
    </row>
    <row r="3" spans="2:18" x14ac:dyDescent="0.3">
      <c r="B3" s="1" t="s">
        <v>8</v>
      </c>
      <c r="C3" s="1" t="s">
        <v>9</v>
      </c>
      <c r="D3" s="2"/>
      <c r="E3" s="3"/>
      <c r="F3" s="5" t="e">
        <f>E3/(D3*10^(-3))</f>
        <v>#DIV/0!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M3" s="11"/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/>
      <c r="E4" s="3"/>
      <c r="F4" s="5" t="e">
        <f t="shared" ref="F4:F6" si="0">E4/(D4*10^(-3))</f>
        <v>#DIV/0!</v>
      </c>
      <c r="H4" s="1" t="s">
        <v>25</v>
      </c>
      <c r="I4" s="1" t="s">
        <v>24</v>
      </c>
      <c r="J4" s="2"/>
      <c r="K4" s="3"/>
      <c r="L4" s="5" t="e">
        <f t="shared" ref="L4:L6" si="1">K4/(J4*10^(-3))</f>
        <v>#DIV/0!</v>
      </c>
      <c r="M4" s="11"/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/>
      <c r="E5" s="3"/>
      <c r="F5" s="5" t="e">
        <f t="shared" si="0"/>
        <v>#DIV/0!</v>
      </c>
      <c r="H5" s="1" t="s">
        <v>26</v>
      </c>
      <c r="I5" s="1" t="s">
        <v>27</v>
      </c>
      <c r="J5" s="2"/>
      <c r="K5" s="3"/>
      <c r="L5" s="5" t="e">
        <f t="shared" si="1"/>
        <v>#DIV/0!</v>
      </c>
      <c r="M5" s="11"/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/>
      <c r="E6" s="3"/>
      <c r="F6" s="5" t="e">
        <f t="shared" si="0"/>
        <v>#DIV/0!</v>
      </c>
      <c r="H6" s="1" t="s">
        <v>27</v>
      </c>
      <c r="I6" s="1" t="s">
        <v>26</v>
      </c>
      <c r="J6" s="2"/>
      <c r="K6" s="3"/>
      <c r="L6" s="5" t="e">
        <f t="shared" si="1"/>
        <v>#DIV/0!</v>
      </c>
      <c r="M6" s="11"/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 t="e">
        <f>AVERAGE(F3:F6)</f>
        <v>#DIV/0!</v>
      </c>
      <c r="H7" s="12" t="s">
        <v>18</v>
      </c>
      <c r="I7" s="12"/>
      <c r="J7" s="12"/>
      <c r="K7" s="12"/>
      <c r="L7" s="5" t="e">
        <f>AVERAGE(L3:L6)</f>
        <v>#DIV/0!</v>
      </c>
      <c r="M7" s="11"/>
      <c r="N7" s="1" t="s">
        <v>41</v>
      </c>
      <c r="O7" s="8"/>
      <c r="P7" s="8"/>
      <c r="Q7" s="8"/>
      <c r="R7" s="4"/>
    </row>
    <row r="8" spans="2:18" x14ac:dyDescent="0.3">
      <c r="D8" t="s">
        <v>50</v>
      </c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1.6800000000000002E-8</v>
      </c>
      <c r="O10" s="15"/>
    </row>
    <row r="11" spans="2:18" x14ac:dyDescent="0.3">
      <c r="B11" s="1" t="s">
        <v>12</v>
      </c>
      <c r="C11" s="1" t="s">
        <v>13</v>
      </c>
      <c r="D11" s="2">
        <v>19.992000000000001</v>
      </c>
      <c r="E11" s="3">
        <v>5.8599999999999999E-2</v>
      </c>
      <c r="F11" s="5">
        <f>E11/(D11*10^(-3))</f>
        <v>2.9311724689875946</v>
      </c>
      <c r="H11" s="1" t="s">
        <v>28</v>
      </c>
      <c r="I11" s="1" t="s">
        <v>29</v>
      </c>
      <c r="J11" s="2">
        <v>20.102</v>
      </c>
      <c r="K11" s="3">
        <v>0.15</v>
      </c>
      <c r="L11" s="5">
        <f>K11/(J11*10^(-3))</f>
        <v>7.461944085165654</v>
      </c>
    </row>
    <row r="12" spans="2:18" x14ac:dyDescent="0.3">
      <c r="B12" s="1" t="s">
        <v>13</v>
      </c>
      <c r="C12" s="1" t="s">
        <v>12</v>
      </c>
      <c r="D12" s="2">
        <v>19.981999999999999</v>
      </c>
      <c r="E12" s="3">
        <v>5.8599999999999999E-2</v>
      </c>
      <c r="F12" s="5">
        <f t="shared" ref="F12:F14" si="2">E12/(D12*10^(-3))</f>
        <v>2.9326393754378941</v>
      </c>
      <c r="H12" s="1" t="s">
        <v>29</v>
      </c>
      <c r="I12" s="1" t="s">
        <v>28</v>
      </c>
      <c r="J12" s="2">
        <v>20.029</v>
      </c>
      <c r="K12" s="3">
        <v>0.14949999999999999</v>
      </c>
      <c r="L12" s="5">
        <f t="shared" ref="L12:L14" si="3">K12/(J12*10^(-3))</f>
        <v>7.4641769434320224</v>
      </c>
    </row>
    <row r="13" spans="2:18" x14ac:dyDescent="0.3">
      <c r="B13" s="1" t="s">
        <v>14</v>
      </c>
      <c r="C13" s="1" t="s">
        <v>15</v>
      </c>
      <c r="D13" s="2">
        <v>20.079000000000001</v>
      </c>
      <c r="E13" s="3">
        <v>5.8799999999999998E-2</v>
      </c>
      <c r="F13" s="5">
        <f t="shared" si="2"/>
        <v>2.9284326908710594</v>
      </c>
      <c r="H13" s="1" t="s">
        <v>30</v>
      </c>
      <c r="I13" s="1" t="s">
        <v>31</v>
      </c>
      <c r="J13" s="2">
        <v>19.978999999999999</v>
      </c>
      <c r="K13" s="3">
        <v>0.14910000000000001</v>
      </c>
      <c r="L13" s="5">
        <f t="shared" si="3"/>
        <v>7.462835977776666</v>
      </c>
    </row>
    <row r="14" spans="2:18" x14ac:dyDescent="0.3">
      <c r="B14" s="1" t="s">
        <v>15</v>
      </c>
      <c r="C14" s="1" t="s">
        <v>14</v>
      </c>
      <c r="D14" s="2">
        <v>20.023</v>
      </c>
      <c r="E14" s="3">
        <v>5.8700000000000002E-2</v>
      </c>
      <c r="F14" s="5">
        <f t="shared" si="2"/>
        <v>2.9316286270788594</v>
      </c>
      <c r="H14" s="1" t="s">
        <v>31</v>
      </c>
      <c r="I14" s="1" t="s">
        <v>30</v>
      </c>
      <c r="J14" s="2">
        <v>19.934999999999999</v>
      </c>
      <c r="K14" s="3">
        <v>0.14879999999999999</v>
      </c>
      <c r="L14" s="5">
        <f t="shared" si="3"/>
        <v>7.4642588412340105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2.9309682905938521</v>
      </c>
      <c r="H15" s="12" t="s">
        <v>18</v>
      </c>
      <c r="I15" s="12"/>
      <c r="J15" s="12"/>
      <c r="K15" s="12"/>
      <c r="L15" s="5">
        <f>AVERAGE(L11:L14)</f>
        <v>7.4633039619020884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19.966999999999999</v>
      </c>
      <c r="E19" s="3">
        <v>8.5900000000000004E-2</v>
      </c>
      <c r="F19" s="5">
        <f>E19/(D19*10^(-3))</f>
        <v>4.3020984624630643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>
        <v>20.02</v>
      </c>
      <c r="E20" s="3">
        <v>8.5800000000000001E-2</v>
      </c>
      <c r="F20" s="5">
        <f t="shared" ref="F20:F22" si="4">E20/(D20*10^(-3))</f>
        <v>4.2857142857142856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>
        <v>19.968</v>
      </c>
      <c r="E21" s="3">
        <v>8.5900000000000004E-2</v>
      </c>
      <c r="F21" s="5">
        <f t="shared" si="4"/>
        <v>4.3018830128205128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>
        <v>19.962</v>
      </c>
      <c r="E22" s="3">
        <v>8.5999999999999993E-2</v>
      </c>
      <c r="F22" s="5">
        <f t="shared" si="4"/>
        <v>4.308185552549844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4.299470328386926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2DB9-B0F8-47B6-8E0C-DB20561BD5A9}">
  <dimension ref="B1:R23"/>
  <sheetViews>
    <sheetView workbookViewId="0">
      <selection activeCell="E6" sqref="D6:E6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2.2400000000000002</v>
      </c>
    </row>
    <row r="3" spans="2:18" x14ac:dyDescent="0.3">
      <c r="B3" s="1" t="s">
        <v>8</v>
      </c>
      <c r="C3" s="1" t="s">
        <v>9</v>
      </c>
      <c r="D3" s="2"/>
      <c r="E3" s="3"/>
      <c r="F3" s="5" t="e">
        <f>E3/(D3*10^(-3))</f>
        <v>#DIV/0!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M3" s="11"/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/>
      <c r="E4" s="3"/>
      <c r="F4" s="5" t="e">
        <f>E4/(D4*10^(-3))</f>
        <v>#DIV/0!</v>
      </c>
      <c r="H4" s="1" t="s">
        <v>25</v>
      </c>
      <c r="I4" s="1" t="s">
        <v>24</v>
      </c>
      <c r="J4" s="2"/>
      <c r="K4" s="3"/>
      <c r="L4" s="5" t="e">
        <f t="shared" ref="L4:L6" si="0">K4/(J4*10^(-3))</f>
        <v>#DIV/0!</v>
      </c>
      <c r="M4" s="11"/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/>
      <c r="E5" s="3"/>
      <c r="F5" s="5" t="e">
        <f>E5/(D5*10^(-3))</f>
        <v>#DIV/0!</v>
      </c>
      <c r="H5" s="1" t="s">
        <v>26</v>
      </c>
      <c r="I5" s="1" t="s">
        <v>27</v>
      </c>
      <c r="J5" s="2"/>
      <c r="K5" s="3"/>
      <c r="L5" s="5" t="e">
        <f t="shared" si="0"/>
        <v>#DIV/0!</v>
      </c>
      <c r="M5" s="11"/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/>
      <c r="E6" s="3"/>
      <c r="F6" s="5" t="e">
        <f>E6/(D6*10^(-3))</f>
        <v>#DIV/0!</v>
      </c>
      <c r="H6" s="1" t="s">
        <v>27</v>
      </c>
      <c r="I6" s="1" t="s">
        <v>26</v>
      </c>
      <c r="J6" s="2"/>
      <c r="K6" s="3"/>
      <c r="L6" s="5" t="e">
        <f t="shared" si="0"/>
        <v>#DIV/0!</v>
      </c>
      <c r="M6" s="11"/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 t="e">
        <f>AVERAGE(F3:F6)</f>
        <v>#DIV/0!</v>
      </c>
      <c r="H7" s="12" t="s">
        <v>18</v>
      </c>
      <c r="I7" s="12"/>
      <c r="J7" s="12"/>
      <c r="K7" s="12"/>
      <c r="L7" s="5" t="e">
        <f>AVERAGE(L3:L6)</f>
        <v>#DIV/0!</v>
      </c>
      <c r="M7" s="11"/>
      <c r="N7" s="1" t="s">
        <v>41</v>
      </c>
      <c r="O7" s="8"/>
      <c r="P7" s="8"/>
      <c r="Q7" s="8"/>
      <c r="R7" s="4"/>
    </row>
    <row r="8" spans="2:18" x14ac:dyDescent="0.3">
      <c r="D8" t="s">
        <v>49</v>
      </c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1.6800000000000002E-8</v>
      </c>
      <c r="O10" s="15"/>
    </row>
    <row r="11" spans="2:18" x14ac:dyDescent="0.3">
      <c r="B11" s="1" t="s">
        <v>12</v>
      </c>
      <c r="C11" s="1" t="s">
        <v>13</v>
      </c>
      <c r="D11" s="2"/>
      <c r="E11" s="3"/>
      <c r="F11" s="5" t="e">
        <f>E11/(D11*10^(-3))</f>
        <v>#DIV/0!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>
        <v>19.917000000000002</v>
      </c>
      <c r="E12" s="3">
        <v>8.5500000000000007E-2</v>
      </c>
      <c r="F12" s="5">
        <f t="shared" ref="F12:F14" si="1">E12/(D12*10^(-3))</f>
        <v>4.2928151830094894</v>
      </c>
      <c r="H12" s="1" t="s">
        <v>29</v>
      </c>
      <c r="I12" s="1" t="s">
        <v>28</v>
      </c>
      <c r="J12" s="2"/>
      <c r="K12" s="3"/>
      <c r="L12" s="5" t="e">
        <f t="shared" ref="L12:L14" si="2">K12/(J12*10^(-3))</f>
        <v>#DIV/0!</v>
      </c>
    </row>
    <row r="13" spans="2:18" x14ac:dyDescent="0.3">
      <c r="B13" s="1" t="s">
        <v>14</v>
      </c>
      <c r="C13" s="1" t="s">
        <v>15</v>
      </c>
      <c r="D13" s="2">
        <v>19.946000000000002</v>
      </c>
      <c r="E13" s="3">
        <v>8.5699999999999998E-2</v>
      </c>
      <c r="F13" s="5">
        <f t="shared" si="1"/>
        <v>4.2966008222199932</v>
      </c>
      <c r="H13" s="1" t="s">
        <v>30</v>
      </c>
      <c r="I13" s="1" t="s">
        <v>31</v>
      </c>
      <c r="J13" s="2"/>
      <c r="K13" s="3"/>
      <c r="L13" s="5" t="e">
        <f t="shared" si="2"/>
        <v>#DIV/0!</v>
      </c>
    </row>
    <row r="14" spans="2:18" x14ac:dyDescent="0.3">
      <c r="B14" s="1" t="s">
        <v>15</v>
      </c>
      <c r="C14" s="1" t="s">
        <v>14</v>
      </c>
      <c r="D14" s="2">
        <v>20.015000000000001</v>
      </c>
      <c r="E14" s="3">
        <v>8.5999999999999993E-2</v>
      </c>
      <c r="F14" s="5">
        <f t="shared" si="1"/>
        <v>4.2967774169372968</v>
      </c>
      <c r="H14" s="1" t="s">
        <v>31</v>
      </c>
      <c r="I14" s="1" t="s">
        <v>30</v>
      </c>
      <c r="J14" s="2"/>
      <c r="K14" s="3"/>
      <c r="L14" s="5" t="e">
        <f t="shared" si="2"/>
        <v>#DIV/0!</v>
      </c>
    </row>
    <row r="15" spans="2:18" x14ac:dyDescent="0.3">
      <c r="B15" s="12" t="s">
        <v>18</v>
      </c>
      <c r="C15" s="12"/>
      <c r="D15" s="12"/>
      <c r="E15" s="12"/>
      <c r="F15" s="5">
        <f>AVERAGE(F12:F14)</f>
        <v>4.2953978073889267</v>
      </c>
      <c r="H15" s="12" t="s">
        <v>18</v>
      </c>
      <c r="I15" s="12"/>
      <c r="J15" s="12"/>
      <c r="K15" s="12"/>
      <c r="L15" s="5" t="e">
        <f>AVERAGE(L11:L14)</f>
        <v>#DIV/0!</v>
      </c>
    </row>
    <row r="16" spans="2:18" x14ac:dyDescent="0.3">
      <c r="D16" t="s">
        <v>48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19.981000000000002</v>
      </c>
      <c r="E19" s="3">
        <v>8.6400000000000005E-2</v>
      </c>
      <c r="F19" s="5">
        <f>E19/(D19*10^(-3))</f>
        <v>4.3241079025073814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>
        <v>19.959</v>
      </c>
      <c r="E20" s="3">
        <v>8.6300000000000002E-2</v>
      </c>
      <c r="F20" s="5">
        <f>E20/(D20*10^(-3))</f>
        <v>4.3238639210381278</v>
      </c>
      <c r="H20" s="1" t="s">
        <v>33</v>
      </c>
      <c r="I20" s="1" t="s">
        <v>32</v>
      </c>
      <c r="J20" s="2"/>
      <c r="K20" s="3"/>
      <c r="L20" s="5" t="e">
        <f t="shared" ref="L20:L22" si="3">K20/(J20*10^(-3))</f>
        <v>#DIV/0!</v>
      </c>
    </row>
    <row r="21" spans="2:12" x14ac:dyDescent="0.3">
      <c r="B21" s="1" t="s">
        <v>22</v>
      </c>
      <c r="C21" s="1" t="s">
        <v>23</v>
      </c>
      <c r="D21" s="2">
        <v>19.960999999999999</v>
      </c>
      <c r="E21" s="3">
        <v>8.6300000000000002E-2</v>
      </c>
      <c r="F21" s="5">
        <f>E21/(D21*10^(-3))</f>
        <v>4.323430689845198</v>
      </c>
      <c r="H21" s="1" t="s">
        <v>34</v>
      </c>
      <c r="I21" s="1" t="s">
        <v>35</v>
      </c>
      <c r="J21" s="2"/>
      <c r="K21" s="3"/>
      <c r="L21" s="5" t="e">
        <f t="shared" si="3"/>
        <v>#DIV/0!</v>
      </c>
    </row>
    <row r="22" spans="2:12" x14ac:dyDescent="0.3">
      <c r="B22" s="1" t="s">
        <v>23</v>
      </c>
      <c r="C22" s="1" t="s">
        <v>22</v>
      </c>
      <c r="D22" s="2">
        <v>20.001999999999999</v>
      </c>
      <c r="E22" s="3">
        <v>8.6499999999999994E-2</v>
      </c>
      <c r="F22" s="5">
        <f>E22/(D22*10^(-3))</f>
        <v>4.3245675432456752</v>
      </c>
      <c r="H22" s="1" t="s">
        <v>35</v>
      </c>
      <c r="I22" s="1" t="s">
        <v>34</v>
      </c>
      <c r="J22" s="2"/>
      <c r="K22" s="3"/>
      <c r="L22" s="5" t="e">
        <f t="shared" si="3"/>
        <v>#DIV/0!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4.3239925141590954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2D36-B78C-4BA5-81C4-D038686563E1}">
  <dimension ref="B1:R23"/>
  <sheetViews>
    <sheetView workbookViewId="0">
      <selection activeCell="R25" sqref="R25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20.02</v>
      </c>
      <c r="E3" s="3">
        <v>0.17100000000000001</v>
      </c>
      <c r="F3" s="5">
        <f>E3/(D3*10^(-3))</f>
        <v>8.5414585414585424</v>
      </c>
      <c r="H3" s="1" t="s">
        <v>24</v>
      </c>
      <c r="I3" s="1" t="s">
        <v>25</v>
      </c>
      <c r="J3" s="2">
        <v>19.998999999999999</v>
      </c>
      <c r="K3" s="3">
        <v>0.35049999999999998</v>
      </c>
      <c r="L3" s="5">
        <f>K3/(J3*10^(-3))</f>
        <v>17.52587629381469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20.081</v>
      </c>
      <c r="E4" s="3">
        <v>0.17180000000000001</v>
      </c>
      <c r="F4" s="5">
        <f t="shared" ref="F4:F6" si="0">E4/(D4*10^(-3))</f>
        <v>8.5553508291419753</v>
      </c>
      <c r="H4" s="1" t="s">
        <v>25</v>
      </c>
      <c r="I4" s="1" t="s">
        <v>24</v>
      </c>
      <c r="J4" s="2">
        <v>20.02</v>
      </c>
      <c r="K4" s="3">
        <v>0.35099999999999998</v>
      </c>
      <c r="L4" s="5">
        <f>K4/(J4*10^(-3))</f>
        <v>17.532467532467532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19.923999999999999</v>
      </c>
      <c r="E5" s="3">
        <v>0.17050000000000001</v>
      </c>
      <c r="F5" s="5">
        <f t="shared" si="0"/>
        <v>8.5575185705681598</v>
      </c>
      <c r="H5" s="1" t="s">
        <v>26</v>
      </c>
      <c r="I5" s="1" t="s">
        <v>27</v>
      </c>
      <c r="J5" s="2">
        <v>19.95</v>
      </c>
      <c r="K5" s="3">
        <v>0.34970000000000001</v>
      </c>
      <c r="L5" s="5">
        <f t="shared" ref="L5:L6" si="1">K5/(J5*10^(-3))</f>
        <v>17.528822055137844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20.010000000000002</v>
      </c>
      <c r="E6" s="3">
        <v>0.17130000000000001</v>
      </c>
      <c r="F6" s="5">
        <f t="shared" si="0"/>
        <v>8.5607196401799097</v>
      </c>
      <c r="H6" s="1" t="s">
        <v>27</v>
      </c>
      <c r="I6" s="1" t="s">
        <v>26</v>
      </c>
      <c r="J6" s="2">
        <v>19.989999999999998</v>
      </c>
      <c r="K6" s="3">
        <v>0.35039999999999999</v>
      </c>
      <c r="L6" s="5">
        <f t="shared" si="1"/>
        <v>17.528764382191099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8.5537618953371464</v>
      </c>
      <c r="H7" s="12" t="s">
        <v>18</v>
      </c>
      <c r="I7" s="12"/>
      <c r="J7" s="12"/>
      <c r="K7" s="12"/>
      <c r="L7" s="5">
        <f>AVERAGE(L3:L6)</f>
        <v>17.528982565902794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20.010000000000002</v>
      </c>
      <c r="E11" s="3">
        <v>0.1714</v>
      </c>
      <c r="F11" s="5">
        <f>E11/(D11*10^(-3))</f>
        <v>8.5657171414292836</v>
      </c>
      <c r="H11" s="1" t="s">
        <v>28</v>
      </c>
      <c r="I11" s="1" t="s">
        <v>29</v>
      </c>
      <c r="J11" s="2">
        <v>19.939</v>
      </c>
      <c r="K11" s="3">
        <v>0.34429999999999999</v>
      </c>
      <c r="L11" s="5">
        <f>K11/(J11*10^(-3))</f>
        <v>17.267666382466523</v>
      </c>
      <c r="N11">
        <f>L11/2</f>
        <v>8.6338331912332613</v>
      </c>
    </row>
    <row r="12" spans="2:18" x14ac:dyDescent="0.3">
      <c r="B12" s="1" t="s">
        <v>13</v>
      </c>
      <c r="C12" s="1" t="s">
        <v>12</v>
      </c>
      <c r="D12" s="2">
        <v>20.065999999999999</v>
      </c>
      <c r="E12" s="3">
        <v>0.17180000000000001</v>
      </c>
      <c r="F12" s="5">
        <f t="shared" ref="F12:F14" si="2">E12/(D12*10^(-3))</f>
        <v>8.561746237416525</v>
      </c>
      <c r="H12" s="1" t="s">
        <v>29</v>
      </c>
      <c r="I12" s="1" t="s">
        <v>28</v>
      </c>
      <c r="J12" s="2">
        <v>20.052</v>
      </c>
      <c r="K12" s="3">
        <v>0.34610000000000002</v>
      </c>
      <c r="L12" s="5">
        <f t="shared" ref="L12:L14" si="3">K12/(J12*10^(-3))</f>
        <v>17.260123678436067</v>
      </c>
    </row>
    <row r="13" spans="2:18" x14ac:dyDescent="0.3">
      <c r="B13" s="1" t="s">
        <v>14</v>
      </c>
      <c r="C13" s="1" t="s">
        <v>15</v>
      </c>
      <c r="D13" s="2">
        <v>20.04</v>
      </c>
      <c r="E13" s="3">
        <v>0.17169999999999999</v>
      </c>
      <c r="F13" s="5">
        <f t="shared" si="2"/>
        <v>8.5678642714570863</v>
      </c>
      <c r="H13" s="1" t="s">
        <v>30</v>
      </c>
      <c r="I13" s="1" t="s">
        <v>31</v>
      </c>
      <c r="J13" s="2">
        <v>20.021999999999998</v>
      </c>
      <c r="K13" s="3">
        <v>0.34560000000000002</v>
      </c>
      <c r="L13" s="5">
        <f t="shared" si="3"/>
        <v>17.261012885825593</v>
      </c>
    </row>
    <row r="14" spans="2:18" x14ac:dyDescent="0.3">
      <c r="B14" s="1" t="s">
        <v>15</v>
      </c>
      <c r="C14" s="1" t="s">
        <v>14</v>
      </c>
      <c r="D14" s="2">
        <v>19.975000000000001</v>
      </c>
      <c r="E14" s="3">
        <v>0.17100000000000001</v>
      </c>
      <c r="F14" s="5">
        <f t="shared" si="2"/>
        <v>8.5607008760951189</v>
      </c>
      <c r="H14" s="1" t="s">
        <v>31</v>
      </c>
      <c r="I14" s="1" t="s">
        <v>30</v>
      </c>
      <c r="J14" s="2">
        <v>20.006</v>
      </c>
      <c r="K14" s="3">
        <v>0.34539999999999998</v>
      </c>
      <c r="L14" s="5">
        <f t="shared" si="3"/>
        <v>17.26482055383385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8.564007131599503</v>
      </c>
      <c r="H15" s="12" t="s">
        <v>18</v>
      </c>
      <c r="I15" s="12"/>
      <c r="J15" s="12"/>
      <c r="K15" s="12"/>
      <c r="L15" s="5">
        <f>AVERAGE(L11:L14)</f>
        <v>17.263405875140506</v>
      </c>
    </row>
    <row r="17" spans="2:14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4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4" x14ac:dyDescent="0.3">
      <c r="B19" s="1" t="s">
        <v>20</v>
      </c>
      <c r="C19" s="1" t="s">
        <v>21</v>
      </c>
      <c r="D19" s="2">
        <v>19.991</v>
      </c>
      <c r="E19" s="3">
        <v>0.16589999999999999</v>
      </c>
      <c r="F19" s="5">
        <f>E19/(D19*10^(-3))</f>
        <v>8.2987344304937221</v>
      </c>
      <c r="H19" s="1" t="s">
        <v>32</v>
      </c>
      <c r="I19" s="1" t="s">
        <v>33</v>
      </c>
      <c r="J19" s="2">
        <v>19.945</v>
      </c>
      <c r="K19" s="3">
        <v>0.52349999999999997</v>
      </c>
      <c r="L19" s="5">
        <f>K19/(J19*10^(-3))</f>
        <v>26.247179744296812</v>
      </c>
      <c r="N19">
        <f>L19/3</f>
        <v>8.7490599147656045</v>
      </c>
    </row>
    <row r="20" spans="2:14" x14ac:dyDescent="0.3">
      <c r="B20" s="1" t="s">
        <v>21</v>
      </c>
      <c r="C20" s="1" t="s">
        <v>20</v>
      </c>
      <c r="D20" s="2">
        <v>19.934000000000001</v>
      </c>
      <c r="E20" s="3">
        <v>0.16539999999999999</v>
      </c>
      <c r="F20" s="5">
        <f>E20/(D20*10^(-3))</f>
        <v>8.2973813584829941</v>
      </c>
      <c r="H20" s="1" t="s">
        <v>33</v>
      </c>
      <c r="I20" s="1" t="s">
        <v>32</v>
      </c>
      <c r="J20" s="2">
        <v>20.021000000000001</v>
      </c>
      <c r="K20" s="3">
        <v>0.52529999999999999</v>
      </c>
      <c r="L20" s="5">
        <f t="shared" ref="L20:L22" si="4">K20/(J20*10^(-3))</f>
        <v>26.237450676789368</v>
      </c>
    </row>
    <row r="21" spans="2:14" x14ac:dyDescent="0.3">
      <c r="B21" s="1" t="s">
        <v>22</v>
      </c>
      <c r="C21" s="1" t="s">
        <v>23</v>
      </c>
      <c r="D21" s="2">
        <v>20.009</v>
      </c>
      <c r="E21" s="3">
        <v>0.16600000000000001</v>
      </c>
      <c r="F21" s="5">
        <f>E21/(D21*10^(-3))</f>
        <v>8.2962666799940017</v>
      </c>
      <c r="H21" s="1" t="s">
        <v>34</v>
      </c>
      <c r="I21" s="1" t="s">
        <v>35</v>
      </c>
      <c r="J21" s="2">
        <v>20</v>
      </c>
      <c r="K21" s="3">
        <v>0.52480000000000004</v>
      </c>
      <c r="L21" s="5">
        <f t="shared" si="4"/>
        <v>26.240000000000002</v>
      </c>
    </row>
    <row r="22" spans="2:14" x14ac:dyDescent="0.3">
      <c r="B22" s="1" t="s">
        <v>23</v>
      </c>
      <c r="C22" s="1" t="s">
        <v>22</v>
      </c>
      <c r="D22" s="2">
        <v>20.077000000000002</v>
      </c>
      <c r="E22" s="3">
        <v>0.1666</v>
      </c>
      <c r="F22" s="5">
        <f t="shared" ref="F22" si="5">E22/(D22*10^(-3))</f>
        <v>8.29805249788315</v>
      </c>
      <c r="H22" s="1" t="s">
        <v>35</v>
      </c>
      <c r="I22" s="1" t="s">
        <v>34</v>
      </c>
      <c r="J22" s="2">
        <v>19.997</v>
      </c>
      <c r="K22" s="3">
        <v>0.52480000000000004</v>
      </c>
      <c r="L22" s="5">
        <f t="shared" si="4"/>
        <v>26.243936590488573</v>
      </c>
    </row>
    <row r="23" spans="2:14" x14ac:dyDescent="0.3">
      <c r="B23" s="12" t="s">
        <v>18</v>
      </c>
      <c r="C23" s="12"/>
      <c r="D23" s="12"/>
      <c r="E23" s="12"/>
      <c r="F23" s="5">
        <f>AVERAGE(F19:F22)</f>
        <v>8.2976087417134679</v>
      </c>
      <c r="H23" s="12" t="s">
        <v>18</v>
      </c>
      <c r="I23" s="12"/>
      <c r="J23" s="12"/>
      <c r="K23" s="12"/>
      <c r="L23" s="5">
        <f>AVERAGE(L19:L22)</f>
        <v>26.242141752893687</v>
      </c>
    </row>
  </sheetData>
  <mergeCells count="14">
    <mergeCell ref="B1:F1"/>
    <mergeCell ref="H1:L1"/>
    <mergeCell ref="B7:E7"/>
    <mergeCell ref="H7:K7"/>
    <mergeCell ref="B9:F9"/>
    <mergeCell ref="H9:L9"/>
    <mergeCell ref="B23:E23"/>
    <mergeCell ref="H23:K23"/>
    <mergeCell ref="N9:O9"/>
    <mergeCell ref="N10:O10"/>
    <mergeCell ref="B15:E15"/>
    <mergeCell ref="H15:K15"/>
    <mergeCell ref="B17:F17"/>
    <mergeCell ref="H17:L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5D96-D7A7-4355-A8AB-FC1BC4C0E459}">
  <dimension ref="B1:R23"/>
  <sheetViews>
    <sheetView workbookViewId="0">
      <selection activeCell="G20" sqref="G20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/>
      <c r="E3" s="3"/>
      <c r="F3" s="5" t="e">
        <f>E3/(D3*10^(-3))</f>
        <v>#DIV/0!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/>
      <c r="E4" s="3"/>
      <c r="F4" s="5" t="e">
        <f t="shared" ref="F4:F6" si="0">E4/(D4*10^(-3))</f>
        <v>#DIV/0!</v>
      </c>
      <c r="H4" s="1" t="s">
        <v>25</v>
      </c>
      <c r="I4" s="1" t="s">
        <v>24</v>
      </c>
      <c r="J4" s="2"/>
      <c r="K4" s="3"/>
      <c r="L4" s="5" t="e">
        <f>K4/(J4*10^(-3))</f>
        <v>#DIV/0!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/>
      <c r="E5" s="3"/>
      <c r="F5" s="5" t="e">
        <f t="shared" si="0"/>
        <v>#DIV/0!</v>
      </c>
      <c r="H5" s="1" t="s">
        <v>26</v>
      </c>
      <c r="I5" s="1" t="s">
        <v>27</v>
      </c>
      <c r="J5" s="2"/>
      <c r="K5" s="3"/>
      <c r="L5" s="5" t="e">
        <f t="shared" ref="L5" si="1">K5/(J5*10^(-3))</f>
        <v>#DIV/0!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/>
      <c r="E6" s="3"/>
      <c r="F6" s="5" t="e">
        <f t="shared" si="0"/>
        <v>#DIV/0!</v>
      </c>
      <c r="H6" s="1" t="s">
        <v>27</v>
      </c>
      <c r="I6" s="1" t="s">
        <v>26</v>
      </c>
      <c r="J6" s="2"/>
      <c r="K6" s="3"/>
      <c r="L6" s="5">
        <v>19.899999999999999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 t="e">
        <f>AVERAGE(F3:F6)</f>
        <v>#DIV/0!</v>
      </c>
      <c r="H7" s="12" t="s">
        <v>18</v>
      </c>
      <c r="I7" s="12"/>
      <c r="J7" s="12"/>
      <c r="K7" s="12"/>
      <c r="L7" s="5" t="e">
        <f>AVERAGE(L3:L6)</f>
        <v>#DIV/0!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20.007000000000001</v>
      </c>
      <c r="E11" s="3">
        <v>0.16059999999999999</v>
      </c>
      <c r="F11" s="5">
        <f>E11/(D11*10^(-3))</f>
        <v>8.0271904833308341</v>
      </c>
      <c r="H11" s="1" t="s">
        <v>28</v>
      </c>
      <c r="I11" s="1" t="s">
        <v>29</v>
      </c>
      <c r="J11" s="2">
        <v>20.02</v>
      </c>
      <c r="K11" s="3">
        <v>0.308</v>
      </c>
      <c r="L11" s="5">
        <f>K11/(J11*10^(-3))</f>
        <v>15.384615384615385</v>
      </c>
    </row>
    <row r="12" spans="2:18" x14ac:dyDescent="0.3">
      <c r="B12" s="1" t="s">
        <v>13</v>
      </c>
      <c r="C12" s="1" t="s">
        <v>12</v>
      </c>
      <c r="D12" s="2">
        <v>20.016999999999999</v>
      </c>
      <c r="E12" s="3">
        <v>0.16059999999999999</v>
      </c>
      <c r="F12" s="5">
        <f t="shared" ref="F12:F14" si="2">E12/(D12*10^(-3))</f>
        <v>8.0231802967477641</v>
      </c>
      <c r="H12" s="1" t="s">
        <v>29</v>
      </c>
      <c r="I12" s="1" t="s">
        <v>28</v>
      </c>
      <c r="J12" s="2">
        <v>19.95</v>
      </c>
      <c r="K12" s="3">
        <v>0.307</v>
      </c>
      <c r="L12" s="5">
        <f t="shared" ref="L12:L14" si="3">K12/(J12*10^(-3))</f>
        <v>15.388471177944863</v>
      </c>
    </row>
    <row r="13" spans="2:18" x14ac:dyDescent="0.3">
      <c r="B13" s="1" t="s">
        <v>14</v>
      </c>
      <c r="C13" s="1" t="s">
        <v>15</v>
      </c>
      <c r="D13" s="2">
        <v>19.925999999999998</v>
      </c>
      <c r="E13" s="3">
        <v>0.16</v>
      </c>
      <c r="F13" s="5">
        <f t="shared" si="2"/>
        <v>8.0297099267288967</v>
      </c>
      <c r="H13" s="1" t="s">
        <v>30</v>
      </c>
      <c r="I13" s="1" t="s">
        <v>31</v>
      </c>
      <c r="J13" s="2">
        <v>19.992999999999999</v>
      </c>
      <c r="K13" s="3">
        <v>0.30759999999999998</v>
      </c>
      <c r="L13" s="5">
        <f t="shared" si="3"/>
        <v>15.385384884709648</v>
      </c>
    </row>
    <row r="14" spans="2:18" x14ac:dyDescent="0.3">
      <c r="B14" s="1" t="s">
        <v>15</v>
      </c>
      <c r="C14" s="1" t="s">
        <v>14</v>
      </c>
      <c r="D14" s="2">
        <v>20.097000000000001</v>
      </c>
      <c r="E14" s="3">
        <v>0.1613</v>
      </c>
      <c r="F14" s="5">
        <f t="shared" si="2"/>
        <v>8.0260735433149222</v>
      </c>
      <c r="H14" s="1" t="s">
        <v>31</v>
      </c>
      <c r="I14" s="1" t="s">
        <v>30</v>
      </c>
      <c r="J14" s="2">
        <v>20.035</v>
      </c>
      <c r="K14" s="3">
        <v>0.30819999999999997</v>
      </c>
      <c r="L14" s="5">
        <f t="shared" si="3"/>
        <v>15.383079610681305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8.0265385625306038</v>
      </c>
      <c r="H15" s="12" t="s">
        <v>18</v>
      </c>
      <c r="I15" s="12"/>
      <c r="J15" s="12"/>
      <c r="K15" s="12"/>
      <c r="L15" s="5">
        <f>AVERAGE(L11:L14)</f>
        <v>15.385387764487801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20.062000000000001</v>
      </c>
      <c r="E19" s="3">
        <v>0.15310000000000001</v>
      </c>
      <c r="F19" s="5">
        <f>E19/(D19*10^(-3))</f>
        <v>7.6313428372046666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>
        <v>20.064</v>
      </c>
      <c r="E20" s="3">
        <v>0.15310000000000001</v>
      </c>
      <c r="F20" s="5">
        <f>E20/(D20*10^(-3))</f>
        <v>7.6305821371610847</v>
      </c>
      <c r="H20" s="1" t="s">
        <v>33</v>
      </c>
      <c r="I20" s="1" t="s">
        <v>32</v>
      </c>
      <c r="J20" s="2"/>
      <c r="K20" s="3"/>
      <c r="L20" s="5" t="e">
        <f t="shared" ref="L20:L22" si="4">K20/(J20*10^(-3))</f>
        <v>#DIV/0!</v>
      </c>
    </row>
    <row r="21" spans="2:12" x14ac:dyDescent="0.3">
      <c r="B21" s="1" t="s">
        <v>22</v>
      </c>
      <c r="C21" s="1" t="s">
        <v>23</v>
      </c>
      <c r="D21" s="2">
        <v>20.015000000000001</v>
      </c>
      <c r="E21" s="3">
        <v>0.15260000000000001</v>
      </c>
      <c r="F21" s="5">
        <f>E21/(D21*10^(-3))</f>
        <v>7.6242817886585064</v>
      </c>
      <c r="H21" s="1" t="s">
        <v>34</v>
      </c>
      <c r="I21" s="1" t="s">
        <v>35</v>
      </c>
      <c r="J21" s="2"/>
      <c r="K21" s="3"/>
      <c r="L21" s="5" t="e">
        <f t="shared" si="4"/>
        <v>#DIV/0!</v>
      </c>
    </row>
    <row r="22" spans="2:12" x14ac:dyDescent="0.3">
      <c r="B22" s="1" t="s">
        <v>23</v>
      </c>
      <c r="C22" s="1" t="s">
        <v>22</v>
      </c>
      <c r="D22" s="2">
        <v>20.035</v>
      </c>
      <c r="E22" s="3">
        <v>0.15279999999999999</v>
      </c>
      <c r="F22" s="5">
        <f t="shared" ref="F22" si="5">E22/(D22*10^(-3))</f>
        <v>7.626653356625904</v>
      </c>
      <c r="H22" s="1" t="s">
        <v>35</v>
      </c>
      <c r="I22" s="1" t="s">
        <v>34</v>
      </c>
      <c r="J22" s="2"/>
      <c r="K22" s="3"/>
      <c r="L22" s="5" t="e">
        <f t="shared" si="4"/>
        <v>#DIV/0!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7.6282150299125409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1:F1"/>
    <mergeCell ref="H1:L1"/>
    <mergeCell ref="B7:E7"/>
    <mergeCell ref="H7:K7"/>
    <mergeCell ref="B9:F9"/>
    <mergeCell ref="H9:L9"/>
    <mergeCell ref="B23:E23"/>
    <mergeCell ref="H23:K23"/>
    <mergeCell ref="N9:O9"/>
    <mergeCell ref="N10:O10"/>
    <mergeCell ref="B15:E15"/>
    <mergeCell ref="H15:K15"/>
    <mergeCell ref="B17:F17"/>
    <mergeCell ref="H17:L1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693E-959A-4DB0-9494-4370E76A434D}">
  <dimension ref="B1:R23"/>
  <sheetViews>
    <sheetView workbookViewId="0">
      <selection activeCell="G4" sqref="G4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/>
      <c r="E3" s="3"/>
      <c r="F3" s="5" t="e">
        <f>E3/(D3*10^(-3))</f>
        <v>#DIV/0!</v>
      </c>
      <c r="H3" s="1" t="s">
        <v>24</v>
      </c>
      <c r="I3" s="1" t="s">
        <v>25</v>
      </c>
      <c r="J3" s="2">
        <v>20</v>
      </c>
      <c r="K3" s="3">
        <v>0.33879999999999999</v>
      </c>
      <c r="L3" s="5">
        <f>K3/(J3*10^(-3))</f>
        <v>16.939999999999998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/>
      <c r="E4" s="3"/>
      <c r="F4" s="5" t="e">
        <f t="shared" ref="F4:F6" si="0">E4/(D4*10^(-3))</f>
        <v>#DIV/0!</v>
      </c>
      <c r="H4" s="1" t="s">
        <v>25</v>
      </c>
      <c r="I4" s="1" t="s">
        <v>24</v>
      </c>
      <c r="J4" s="2">
        <v>19.988</v>
      </c>
      <c r="K4" s="3">
        <v>0.33860000000000001</v>
      </c>
      <c r="L4" s="5">
        <f>K4/(J4*10^(-3))</f>
        <v>16.940164098459078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/>
      <c r="E5" s="3"/>
      <c r="F5" s="5" t="e">
        <f t="shared" si="0"/>
        <v>#DIV/0!</v>
      </c>
      <c r="H5" s="1" t="s">
        <v>26</v>
      </c>
      <c r="I5" s="1" t="s">
        <v>27</v>
      </c>
      <c r="J5" s="2">
        <v>20.02</v>
      </c>
      <c r="K5" s="3">
        <v>0.3392</v>
      </c>
      <c r="L5" s="5">
        <f t="shared" ref="L5:L6" si="1">K5/(J5*10^(-3))</f>
        <v>16.943056943056945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/>
      <c r="E6" s="3"/>
      <c r="F6" s="5" t="e">
        <f t="shared" si="0"/>
        <v>#DIV/0!</v>
      </c>
      <c r="H6" s="1" t="s">
        <v>27</v>
      </c>
      <c r="I6" s="1" t="s">
        <v>26</v>
      </c>
      <c r="J6" s="2">
        <v>19.997</v>
      </c>
      <c r="K6" s="3">
        <v>0.3387</v>
      </c>
      <c r="L6" s="5">
        <f t="shared" si="1"/>
        <v>16.937540631094663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 t="e">
        <f>AVERAGE(F3:F6)</f>
        <v>#DIV/0!</v>
      </c>
      <c r="H7" s="12" t="s">
        <v>18</v>
      </c>
      <c r="I7" s="12"/>
      <c r="J7" s="12"/>
      <c r="K7" s="12"/>
      <c r="L7" s="5">
        <f>AVERAGE(L3:L6)</f>
        <v>16.940190418152671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/>
      <c r="E11" s="3"/>
      <c r="F11" s="5" t="e">
        <f>E11/(D11*10^(-3))</f>
        <v>#DIV/0!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  <c r="N11" t="e">
        <f>L11/2</f>
        <v>#DIV/0!</v>
      </c>
    </row>
    <row r="12" spans="2:18" x14ac:dyDescent="0.3">
      <c r="B12" s="1" t="s">
        <v>13</v>
      </c>
      <c r="C12" s="1" t="s">
        <v>12</v>
      </c>
      <c r="D12" s="2"/>
      <c r="E12" s="3"/>
      <c r="F12" s="5" t="e">
        <f t="shared" ref="F12:F14" si="2">E12/(D12*10^(-3))</f>
        <v>#DIV/0!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/>
      <c r="E13" s="3"/>
      <c r="F13" s="5" t="e">
        <f t="shared" si="2"/>
        <v>#DIV/0!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/>
      <c r="E14" s="3"/>
      <c r="F14" s="5" t="e">
        <f t="shared" si="2"/>
        <v>#DIV/0!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 t="e">
        <f>AVERAGE(F11:F14)</f>
        <v>#DIV/0!</v>
      </c>
      <c r="H15" s="12" t="s">
        <v>18</v>
      </c>
      <c r="I15" s="12"/>
      <c r="J15" s="12"/>
      <c r="K15" s="12"/>
      <c r="L15" s="5" t="e">
        <f>AVERAGE(L11:L14)</f>
        <v>#DIV/0!</v>
      </c>
    </row>
    <row r="16" spans="2:18" x14ac:dyDescent="0.3">
      <c r="D16" t="s">
        <v>51</v>
      </c>
    </row>
    <row r="17" spans="2:14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4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4" x14ac:dyDescent="0.3">
      <c r="B19" s="1" t="s">
        <v>20</v>
      </c>
      <c r="C19" s="1" t="s">
        <v>21</v>
      </c>
      <c r="D19" s="2"/>
      <c r="E19" s="3"/>
      <c r="F19" s="5" t="e">
        <f>E19/(D19*10^(-3))</f>
        <v>#DIV/0!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  <c r="N19" t="e">
        <f>L19/3</f>
        <v>#DIV/0!</v>
      </c>
    </row>
    <row r="20" spans="2:14" x14ac:dyDescent="0.3">
      <c r="B20" s="1" t="s">
        <v>21</v>
      </c>
      <c r="C20" s="1" t="s">
        <v>20</v>
      </c>
      <c r="D20" s="2"/>
      <c r="E20" s="3"/>
      <c r="F20" s="5" t="e">
        <f>E20/(D20*10^(-3))</f>
        <v>#DIV/0!</v>
      </c>
      <c r="H20" s="1" t="s">
        <v>33</v>
      </c>
      <c r="I20" s="1" t="s">
        <v>32</v>
      </c>
      <c r="J20" s="2"/>
      <c r="K20" s="3"/>
      <c r="L20" s="5" t="e">
        <f t="shared" ref="L20:L22" si="4">K20/(J20*10^(-3))</f>
        <v>#DIV/0!</v>
      </c>
    </row>
    <row r="21" spans="2:14" x14ac:dyDescent="0.3">
      <c r="B21" s="1" t="s">
        <v>22</v>
      </c>
      <c r="C21" s="1" t="s">
        <v>23</v>
      </c>
      <c r="D21" s="2"/>
      <c r="E21" s="3"/>
      <c r="F21" s="5" t="e">
        <f>E21/(D21*10^(-3))</f>
        <v>#DIV/0!</v>
      </c>
      <c r="H21" s="1" t="s">
        <v>34</v>
      </c>
      <c r="I21" s="1" t="s">
        <v>35</v>
      </c>
      <c r="J21" s="2"/>
      <c r="K21" s="3"/>
      <c r="L21" s="5" t="e">
        <f t="shared" si="4"/>
        <v>#DIV/0!</v>
      </c>
    </row>
    <row r="22" spans="2:14" x14ac:dyDescent="0.3">
      <c r="B22" s="1" t="s">
        <v>23</v>
      </c>
      <c r="C22" s="1" t="s">
        <v>22</v>
      </c>
      <c r="D22" s="2"/>
      <c r="E22" s="3"/>
      <c r="F22" s="5" t="e">
        <f t="shared" ref="F22" si="5">E22/(D22*10^(-3))</f>
        <v>#DIV/0!</v>
      </c>
      <c r="H22" s="1" t="s">
        <v>35</v>
      </c>
      <c r="I22" s="1" t="s">
        <v>34</v>
      </c>
      <c r="J22" s="2"/>
      <c r="K22" s="3"/>
      <c r="L22" s="5" t="e">
        <f t="shared" si="4"/>
        <v>#DIV/0!</v>
      </c>
    </row>
    <row r="23" spans="2:14" x14ac:dyDescent="0.3">
      <c r="B23" s="12" t="s">
        <v>18</v>
      </c>
      <c r="C23" s="12"/>
      <c r="D23" s="12"/>
      <c r="E23" s="12"/>
      <c r="F23" s="5" t="e">
        <f>AVERAGE(F19:F22)</f>
        <v>#DIV/0!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1:F1"/>
    <mergeCell ref="H1:L1"/>
    <mergeCell ref="B7:E7"/>
    <mergeCell ref="H7:K7"/>
    <mergeCell ref="B9:F9"/>
    <mergeCell ref="H9:L9"/>
    <mergeCell ref="B23:E23"/>
    <mergeCell ref="H23:K23"/>
    <mergeCell ref="N9:O9"/>
    <mergeCell ref="N10:O10"/>
    <mergeCell ref="B15:E15"/>
    <mergeCell ref="H15:K15"/>
    <mergeCell ref="B17:F17"/>
    <mergeCell ref="H17:L1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0D4A-53EB-4DFF-8EDD-BD3654D89A07}">
  <dimension ref="B1:R23"/>
  <sheetViews>
    <sheetView workbookViewId="0">
      <selection activeCell="F22" sqref="F22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85</v>
      </c>
      <c r="R2" s="10">
        <f>$N$10*(O2*10^-6)/((P2*10^-6)*(Q2*10^-9))</f>
        <v>3.3647058823529417</v>
      </c>
    </row>
    <row r="3" spans="2:18" x14ac:dyDescent="0.3">
      <c r="B3" s="1" t="s">
        <v>8</v>
      </c>
      <c r="C3" s="1" t="s">
        <v>9</v>
      </c>
      <c r="D3" s="2">
        <v>19.925000000000001</v>
      </c>
      <c r="E3" s="3">
        <v>0.1079</v>
      </c>
      <c r="F3" s="5">
        <f>E3/(D3*10^(-3))</f>
        <v>5.4153074027603507</v>
      </c>
      <c r="H3" s="1" t="s">
        <v>24</v>
      </c>
      <c r="I3" s="1" t="s">
        <v>25</v>
      </c>
      <c r="J3" s="2">
        <v>19.911000000000001</v>
      </c>
      <c r="K3" s="3">
        <v>0.23069999999999999</v>
      </c>
      <c r="L3" s="5">
        <f>K3/(J3*10^(-3))</f>
        <v>11.586560192858217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19.922999999999998</v>
      </c>
      <c r="E4" s="3">
        <v>0.1079</v>
      </c>
      <c r="F4" s="5">
        <f t="shared" ref="F4:F6" si="0">E4/(D4*10^(-3))</f>
        <v>5.4158510264518398</v>
      </c>
      <c r="H4" s="1" t="s">
        <v>25</v>
      </c>
      <c r="I4" s="1" t="s">
        <v>24</v>
      </c>
      <c r="J4" s="2">
        <v>19.908999999999999</v>
      </c>
      <c r="K4" s="3">
        <v>0.23069999999999999</v>
      </c>
      <c r="L4" s="5">
        <f t="shared" ref="L4:L6" si="1">K4/(J4*10^(-3))</f>
        <v>11.587724144859109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19.925999999999998</v>
      </c>
      <c r="E5" s="3">
        <v>0.1079</v>
      </c>
      <c r="F5" s="5">
        <f t="shared" si="0"/>
        <v>5.4150356318377995</v>
      </c>
      <c r="H5" s="1" t="s">
        <v>26</v>
      </c>
      <c r="I5" s="1" t="s">
        <v>27</v>
      </c>
      <c r="J5" s="2">
        <v>19.917000000000002</v>
      </c>
      <c r="K5" s="3">
        <v>0.23069999999999999</v>
      </c>
      <c r="L5" s="5">
        <f t="shared" si="1"/>
        <v>11.583069739418587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19.925999999999998</v>
      </c>
      <c r="E6" s="3">
        <v>0.1079</v>
      </c>
      <c r="F6" s="5">
        <f t="shared" si="0"/>
        <v>5.4150356318377995</v>
      </c>
      <c r="H6" s="1" t="s">
        <v>27</v>
      </c>
      <c r="I6" s="1" t="s">
        <v>26</v>
      </c>
      <c r="J6" s="2">
        <v>19.911000000000001</v>
      </c>
      <c r="K6" s="3">
        <v>0.23069999999999999</v>
      </c>
      <c r="L6" s="5">
        <f t="shared" si="1"/>
        <v>11.586560192858217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5.4153074232219476</v>
      </c>
      <c r="H7" s="12" t="s">
        <v>18</v>
      </c>
      <c r="I7" s="12"/>
      <c r="J7" s="12"/>
      <c r="K7" s="12"/>
      <c r="L7" s="5">
        <f>AVERAGE(L3:L6)</f>
        <v>11.585978567498532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20.041</v>
      </c>
      <c r="E11" s="3">
        <v>0.1145</v>
      </c>
      <c r="F11" s="5">
        <f>E11/(D11*10^(-3))</f>
        <v>5.7132877600918119</v>
      </c>
      <c r="H11" s="1" t="s">
        <v>28</v>
      </c>
      <c r="I11" s="1" t="s">
        <v>29</v>
      </c>
      <c r="J11" s="2">
        <v>19.940000000000001</v>
      </c>
      <c r="K11" s="3">
        <v>0.2324</v>
      </c>
      <c r="L11" s="5">
        <f>K11/(J11*10^(-3))</f>
        <v>11.654964894684051</v>
      </c>
    </row>
    <row r="12" spans="2:18" x14ac:dyDescent="0.3">
      <c r="B12" s="1" t="s">
        <v>13</v>
      </c>
      <c r="C12" s="1" t="s">
        <v>12</v>
      </c>
      <c r="D12" s="2">
        <v>20.018999999999998</v>
      </c>
      <c r="E12" s="3">
        <v>0.1144</v>
      </c>
      <c r="F12" s="5">
        <f t="shared" ref="F12:F14" si="2">E12/(D12*10^(-3))</f>
        <v>5.7145711574004698</v>
      </c>
      <c r="H12" s="1" t="s">
        <v>29</v>
      </c>
      <c r="I12" s="1" t="s">
        <v>28</v>
      </c>
      <c r="J12" s="2">
        <v>19.942</v>
      </c>
      <c r="K12" s="3">
        <v>0.2324</v>
      </c>
      <c r="L12" s="5">
        <f t="shared" ref="L12:L14" si="3">K12/(J12*10^(-3))</f>
        <v>11.653796008424429</v>
      </c>
    </row>
    <row r="13" spans="2:18" x14ac:dyDescent="0.3">
      <c r="B13" s="1" t="s">
        <v>14</v>
      </c>
      <c r="C13" s="1" t="s">
        <v>15</v>
      </c>
      <c r="D13" s="2">
        <v>20.042000000000002</v>
      </c>
      <c r="E13" s="3">
        <v>0.1145</v>
      </c>
      <c r="F13" s="5">
        <f t="shared" si="2"/>
        <v>5.7130026943418821</v>
      </c>
      <c r="H13" s="1" t="s">
        <v>30</v>
      </c>
      <c r="I13" s="1" t="s">
        <v>31</v>
      </c>
      <c r="J13" s="2">
        <v>19.96</v>
      </c>
      <c r="K13" s="3">
        <v>0.2326</v>
      </c>
      <c r="L13" s="5">
        <f t="shared" si="3"/>
        <v>11.653306613226452</v>
      </c>
    </row>
    <row r="14" spans="2:18" x14ac:dyDescent="0.3">
      <c r="B14" s="1" t="s">
        <v>15</v>
      </c>
      <c r="C14" s="1" t="s">
        <v>14</v>
      </c>
      <c r="D14" s="2">
        <v>20.012</v>
      </c>
      <c r="E14" s="3">
        <v>0.1143</v>
      </c>
      <c r="F14" s="5">
        <f t="shared" si="2"/>
        <v>5.7115730561662996</v>
      </c>
      <c r="H14" s="1" t="s">
        <v>31</v>
      </c>
      <c r="I14" s="1" t="s">
        <v>30</v>
      </c>
      <c r="J14" s="2">
        <v>19.937999999999999</v>
      </c>
      <c r="K14" s="3">
        <v>0.2324</v>
      </c>
      <c r="L14" s="5">
        <f t="shared" si="3"/>
        <v>11.656134015447888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5.7131086670001157</v>
      </c>
      <c r="H15" s="12" t="s">
        <v>18</v>
      </c>
      <c r="I15" s="12"/>
      <c r="J15" s="12"/>
      <c r="K15" s="12"/>
      <c r="L15" s="5">
        <f>AVERAGE(L11:L14)</f>
        <v>11.654550382945704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19.989999999999998</v>
      </c>
      <c r="E19" s="3">
        <v>0.11310000000000001</v>
      </c>
      <c r="F19" s="5">
        <f>E19/(D19*10^(-3))</f>
        <v>5.6578289144572294</v>
      </c>
      <c r="H19" s="1" t="s">
        <v>32</v>
      </c>
      <c r="I19" s="1" t="s">
        <v>33</v>
      </c>
      <c r="J19" s="2">
        <v>19.954999999999998</v>
      </c>
      <c r="K19" s="3">
        <v>0.34989999999999999</v>
      </c>
      <c r="L19" s="5">
        <f>K19/(J19*10^(-3))</f>
        <v>17.534452518165875</v>
      </c>
    </row>
    <row r="20" spans="2:12" x14ac:dyDescent="0.3">
      <c r="B20" s="1" t="s">
        <v>21</v>
      </c>
      <c r="C20" s="1" t="s">
        <v>20</v>
      </c>
      <c r="D20" s="2">
        <v>19.974</v>
      </c>
      <c r="E20" s="3">
        <v>0.113</v>
      </c>
      <c r="F20" s="5">
        <f t="shared" ref="F20:F22" si="4">E20/(D20*10^(-3))</f>
        <v>5.6573545609292077</v>
      </c>
      <c r="H20" s="1" t="s">
        <v>33</v>
      </c>
      <c r="I20" s="1" t="s">
        <v>32</v>
      </c>
      <c r="J20" s="2">
        <v>20.09</v>
      </c>
      <c r="K20" s="3">
        <v>0.35220000000000001</v>
      </c>
      <c r="L20" s="5">
        <f t="shared" ref="L20:L22" si="5">K20/(J20*10^(-3))</f>
        <v>17.531110004977602</v>
      </c>
    </row>
    <row r="21" spans="2:12" x14ac:dyDescent="0.3">
      <c r="B21" s="1" t="s">
        <v>22</v>
      </c>
      <c r="C21" s="1" t="s">
        <v>23</v>
      </c>
      <c r="D21" s="2">
        <v>19.998999999999999</v>
      </c>
      <c r="E21" s="3">
        <v>0.1132</v>
      </c>
      <c r="F21" s="5">
        <f t="shared" si="4"/>
        <v>5.6602830141507079</v>
      </c>
      <c r="H21" s="1" t="s">
        <v>34</v>
      </c>
      <c r="I21" s="1" t="s">
        <v>35</v>
      </c>
      <c r="J21" s="2">
        <v>20.059999999999999</v>
      </c>
      <c r="K21" s="3">
        <v>0.35220000000000001</v>
      </c>
      <c r="L21" s="5">
        <f t="shared" si="5"/>
        <v>17.557328015952145</v>
      </c>
    </row>
    <row r="22" spans="2:12" x14ac:dyDescent="0.3">
      <c r="B22" s="1" t="s">
        <v>23</v>
      </c>
      <c r="C22" s="1" t="s">
        <v>22</v>
      </c>
      <c r="D22" s="2">
        <v>19.96</v>
      </c>
      <c r="E22" s="3">
        <v>0.1129</v>
      </c>
      <c r="F22" s="5">
        <f t="shared" si="4"/>
        <v>5.6563126252505</v>
      </c>
      <c r="H22" s="1" t="s">
        <v>35</v>
      </c>
      <c r="I22" s="1" t="s">
        <v>34</v>
      </c>
      <c r="J22" s="2">
        <v>19.98</v>
      </c>
      <c r="K22" s="3">
        <v>0.3503</v>
      </c>
      <c r="L22" s="5">
        <f t="shared" si="5"/>
        <v>17.532532532532532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5.657944778696911</v>
      </c>
      <c r="H23" s="12" t="s">
        <v>18</v>
      </c>
      <c r="I23" s="12"/>
      <c r="J23" s="12"/>
      <c r="K23" s="12"/>
      <c r="L23" s="5">
        <f>AVERAGE(L19:L22)</f>
        <v>17.538855767907037</v>
      </c>
    </row>
  </sheetData>
  <mergeCells count="14">
    <mergeCell ref="B1:F1"/>
    <mergeCell ref="H1:L1"/>
    <mergeCell ref="B7:E7"/>
    <mergeCell ref="H7:K7"/>
    <mergeCell ref="B9:F9"/>
    <mergeCell ref="H9:L9"/>
    <mergeCell ref="B23:E23"/>
    <mergeCell ref="H23:K23"/>
    <mergeCell ref="N9:O9"/>
    <mergeCell ref="N10:O10"/>
    <mergeCell ref="B15:E15"/>
    <mergeCell ref="H15:K15"/>
    <mergeCell ref="B17:F17"/>
    <mergeCell ref="H17:L1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FD95-7722-4563-9CFE-16C22A49D4FC}">
  <dimension ref="B1:R23"/>
  <sheetViews>
    <sheetView workbookViewId="0">
      <selection activeCell="F6" sqref="F6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19.925000000000001</v>
      </c>
      <c r="E3" s="3">
        <v>0.1103</v>
      </c>
      <c r="F3" s="5">
        <f>E3/(D3*10^(-3))</f>
        <v>5.5357590966122956</v>
      </c>
      <c r="H3" s="1" t="s">
        <v>24</v>
      </c>
      <c r="I3" s="1" t="s">
        <v>25</v>
      </c>
      <c r="J3" s="2"/>
      <c r="K3" s="3"/>
      <c r="L3" s="5" t="e">
        <f>K3/(J3*10^(-3))</f>
        <v>#DIV/0!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19.925999999999998</v>
      </c>
      <c r="E4" s="3">
        <v>0.1103</v>
      </c>
      <c r="F4" s="5">
        <f t="shared" ref="F4:F6" si="0">E4/(D4*10^(-3))</f>
        <v>5.5354812807387335</v>
      </c>
      <c r="H4" s="1" t="s">
        <v>25</v>
      </c>
      <c r="I4" s="1" t="s">
        <v>24</v>
      </c>
      <c r="J4" s="2"/>
      <c r="K4" s="3"/>
      <c r="L4" s="5" t="e">
        <f t="shared" ref="L4:L6" si="1">K4/(J4*10^(-3))</f>
        <v>#DIV/0!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19.925999999999998</v>
      </c>
      <c r="E5" s="3">
        <v>0.1103</v>
      </c>
      <c r="F5" s="5">
        <f t="shared" si="0"/>
        <v>5.5354812807387335</v>
      </c>
      <c r="H5" s="1" t="s">
        <v>26</v>
      </c>
      <c r="I5" s="1" t="s">
        <v>27</v>
      </c>
      <c r="J5" s="2"/>
      <c r="K5" s="3"/>
      <c r="L5" s="5" t="e">
        <f t="shared" si="1"/>
        <v>#DIV/0!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19.922999999999998</v>
      </c>
      <c r="E6" s="3">
        <v>0.1103</v>
      </c>
      <c r="F6" s="5">
        <f t="shared" si="0"/>
        <v>5.5363148120263013</v>
      </c>
      <c r="H6" s="1" t="s">
        <v>27</v>
      </c>
      <c r="I6" s="1" t="s">
        <v>26</v>
      </c>
      <c r="J6" s="2"/>
      <c r="K6" s="3"/>
      <c r="L6" s="5" t="e">
        <f t="shared" si="1"/>
        <v>#DIV/0!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5.5357591175290155</v>
      </c>
      <c r="H7" s="12" t="s">
        <v>18</v>
      </c>
      <c r="I7" s="12"/>
      <c r="J7" s="12"/>
      <c r="K7" s="12"/>
      <c r="L7" s="5" t="e">
        <f>AVERAGE(L3:L6)</f>
        <v>#DIV/0!</v>
      </c>
      <c r="N7" s="1" t="s">
        <v>41</v>
      </c>
      <c r="O7" s="8"/>
      <c r="P7" s="8"/>
      <c r="Q7" s="8"/>
      <c r="R7" s="4"/>
    </row>
    <row r="8" spans="2:18" x14ac:dyDescent="0.3">
      <c r="D8" t="s">
        <v>52</v>
      </c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/>
      <c r="E11" s="3"/>
      <c r="F11" s="5" t="e">
        <f>E11/(D11*10^(-3))</f>
        <v>#DIV/0!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/>
      <c r="E12" s="3"/>
      <c r="F12" s="5" t="e">
        <f t="shared" ref="F12:F14" si="2">E12/(D12*10^(-3))</f>
        <v>#DIV/0!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/>
      <c r="E13" s="3"/>
      <c r="F13" s="5" t="e">
        <f t="shared" si="2"/>
        <v>#DIV/0!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/>
      <c r="E14" s="3"/>
      <c r="F14" s="5" t="e">
        <f t="shared" si="2"/>
        <v>#DIV/0!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 t="e">
        <f>AVERAGE(F11:F14)</f>
        <v>#DIV/0!</v>
      </c>
      <c r="H15" s="12" t="s">
        <v>18</v>
      </c>
      <c r="I15" s="12"/>
      <c r="J15" s="12"/>
      <c r="K15" s="12"/>
      <c r="L15" s="5" t="e">
        <f>AVERAGE(L11:L14)</f>
        <v>#DIV/0!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19.940000000000001</v>
      </c>
      <c r="E19" s="3">
        <v>9.6299999999999997E-2</v>
      </c>
      <c r="F19" s="5">
        <f>E19/(D19*10^(-3))</f>
        <v>4.8294884653961878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>
        <v>19.946999999999999</v>
      </c>
      <c r="E20" s="3">
        <v>9.6299999999999997E-2</v>
      </c>
      <c r="F20" s="5">
        <f t="shared" ref="F20:F22" si="4">E20/(D20*10^(-3))</f>
        <v>4.8277936531809296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>
        <v>19.954999999999998</v>
      </c>
      <c r="E21" s="3">
        <v>9.6299999999999997E-2</v>
      </c>
      <c r="F21" s="5">
        <f t="shared" si="4"/>
        <v>4.8258581809070416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>
        <v>19.937000000000001</v>
      </c>
      <c r="E22" s="3">
        <v>9.6299999999999997E-2</v>
      </c>
      <c r="F22" s="5">
        <f t="shared" si="4"/>
        <v>4.8302151778101017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4.8283388693235647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00A8-2207-4E7E-8C89-5F9ECE438294}">
  <dimension ref="B1:R23"/>
  <sheetViews>
    <sheetView workbookViewId="0">
      <selection activeCell="F22" sqref="F22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19.995000000000001</v>
      </c>
      <c r="E3" s="3">
        <v>0.11219999999999999</v>
      </c>
      <c r="F3" s="5">
        <f>E3/(D3*10^(-3))</f>
        <v>5.6114028507126772</v>
      </c>
      <c r="H3" s="1" t="s">
        <v>24</v>
      </c>
      <c r="I3" s="1" t="s">
        <v>25</v>
      </c>
      <c r="J3" s="2">
        <v>20.061</v>
      </c>
      <c r="K3" s="3">
        <v>0.2409</v>
      </c>
      <c r="L3" s="5">
        <f>K3/(J3*10^(-3))</f>
        <v>12.008374457903395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19.966999999999999</v>
      </c>
      <c r="E4" s="3">
        <v>0.112</v>
      </c>
      <c r="F4" s="5">
        <f t="shared" ref="F4:F6" si="0">E4/(D4*10^(-3))</f>
        <v>5.6092552711974761</v>
      </c>
      <c r="H4" s="1" t="s">
        <v>25</v>
      </c>
      <c r="I4" s="1" t="s">
        <v>24</v>
      </c>
      <c r="J4" s="2">
        <v>20.018999999999998</v>
      </c>
      <c r="K4" s="3">
        <v>0.2404</v>
      </c>
      <c r="L4" s="5">
        <f t="shared" ref="L4:L6" si="1">K4/(J4*10^(-3))</f>
        <v>12.008591837754135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19.988</v>
      </c>
      <c r="E5" s="3">
        <v>0.11219999999999999</v>
      </c>
      <c r="F5" s="5">
        <f t="shared" si="0"/>
        <v>5.6133680208124872</v>
      </c>
      <c r="H5" s="1" t="s">
        <v>26</v>
      </c>
      <c r="I5" s="1" t="s">
        <v>27</v>
      </c>
      <c r="J5" s="2">
        <v>20.055</v>
      </c>
      <c r="K5" s="3">
        <v>0.2409</v>
      </c>
      <c r="L5" s="5">
        <f t="shared" si="1"/>
        <v>12.011967090501122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19.992999999999999</v>
      </c>
      <c r="E6" s="3">
        <v>0.11219999999999999</v>
      </c>
      <c r="F6" s="5">
        <f t="shared" si="0"/>
        <v>5.6119641874656123</v>
      </c>
      <c r="H6" s="1" t="s">
        <v>27</v>
      </c>
      <c r="I6" s="1" t="s">
        <v>26</v>
      </c>
      <c r="J6" s="2">
        <v>20.009</v>
      </c>
      <c r="K6" s="3">
        <v>0.24030000000000001</v>
      </c>
      <c r="L6" s="5">
        <f t="shared" si="1"/>
        <v>12.009595681943125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5.6114975825470639</v>
      </c>
      <c r="H7" s="12" t="s">
        <v>18</v>
      </c>
      <c r="I7" s="12"/>
      <c r="J7" s="12"/>
      <c r="K7" s="12"/>
      <c r="L7" s="5">
        <f>AVERAGE(L3:L6)</f>
        <v>12.009632267025445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19.97</v>
      </c>
      <c r="E11" s="3">
        <v>0.12089999999999999</v>
      </c>
      <c r="F11" s="5">
        <f>E11/(D11*10^(-3))</f>
        <v>6.0540811216825237</v>
      </c>
      <c r="H11" s="1" t="s">
        <v>28</v>
      </c>
      <c r="I11" s="1" t="s">
        <v>29</v>
      </c>
      <c r="J11" s="2">
        <v>19.920000000000002</v>
      </c>
      <c r="K11" s="3">
        <v>0.23569999999999999</v>
      </c>
      <c r="L11" s="5">
        <f>K11/(J11*10^(-3))</f>
        <v>11.832329317269073</v>
      </c>
    </row>
    <row r="12" spans="2:18" x14ac:dyDescent="0.3">
      <c r="B12" s="1" t="s">
        <v>13</v>
      </c>
      <c r="C12" s="1" t="s">
        <v>12</v>
      </c>
      <c r="D12" s="2">
        <v>19.971</v>
      </c>
      <c r="E12" s="3">
        <v>0.12089999999999999</v>
      </c>
      <c r="F12" s="5">
        <f t="shared" ref="F12:F14" si="2">E12/(D12*10^(-3))</f>
        <v>6.0537779780681991</v>
      </c>
      <c r="H12" s="1" t="s">
        <v>29</v>
      </c>
      <c r="I12" s="1" t="s">
        <v>28</v>
      </c>
      <c r="J12" s="2">
        <v>19.927</v>
      </c>
      <c r="K12" s="3">
        <v>0.23549999999999999</v>
      </c>
      <c r="L12" s="5">
        <f t="shared" ref="L12:L14" si="3">K12/(J12*10^(-3))</f>
        <v>11.818136197119486</v>
      </c>
    </row>
    <row r="13" spans="2:18" x14ac:dyDescent="0.3">
      <c r="B13" s="1" t="s">
        <v>14</v>
      </c>
      <c r="C13" s="1" t="s">
        <v>15</v>
      </c>
      <c r="D13" s="2">
        <v>19.960999999999999</v>
      </c>
      <c r="E13" s="3">
        <v>0.1208</v>
      </c>
      <c r="F13" s="5">
        <f t="shared" si="2"/>
        <v>6.0518010119733487</v>
      </c>
      <c r="H13" s="1" t="s">
        <v>30</v>
      </c>
      <c r="I13" s="1" t="s">
        <v>31</v>
      </c>
      <c r="J13" s="2">
        <v>19.916</v>
      </c>
      <c r="K13" s="3">
        <v>0.2356</v>
      </c>
      <c r="L13" s="5">
        <f t="shared" si="3"/>
        <v>11.829684675637679</v>
      </c>
    </row>
    <row r="14" spans="2:18" x14ac:dyDescent="0.3">
      <c r="B14" s="1" t="s">
        <v>15</v>
      </c>
      <c r="C14" s="1" t="s">
        <v>14</v>
      </c>
      <c r="D14" s="2">
        <v>19.972000000000001</v>
      </c>
      <c r="E14" s="3">
        <v>0.12089999999999999</v>
      </c>
      <c r="F14" s="5">
        <f t="shared" si="2"/>
        <v>6.0534748648107346</v>
      </c>
      <c r="H14" s="1" t="s">
        <v>31</v>
      </c>
      <c r="I14" s="1" t="s">
        <v>30</v>
      </c>
      <c r="J14" s="2">
        <v>20.061</v>
      </c>
      <c r="K14" s="3">
        <v>0.23730000000000001</v>
      </c>
      <c r="L14" s="5">
        <f t="shared" si="3"/>
        <v>11.828921788544939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6.0532837441337017</v>
      </c>
      <c r="H15" s="12" t="s">
        <v>18</v>
      </c>
      <c r="I15" s="12"/>
      <c r="J15" s="12"/>
      <c r="K15" s="12"/>
      <c r="L15" s="5">
        <f>AVERAGE(L11:L14)</f>
        <v>11.827267994642794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20.045999999999999</v>
      </c>
      <c r="E19" s="3">
        <v>0.1104</v>
      </c>
      <c r="F19" s="5">
        <f>E19/(D19*10^(-3))</f>
        <v>5.5073331337922777</v>
      </c>
      <c r="H19" s="1" t="s">
        <v>32</v>
      </c>
      <c r="I19" s="1" t="s">
        <v>33</v>
      </c>
      <c r="J19" s="2">
        <v>19.916</v>
      </c>
      <c r="K19" s="3">
        <v>0.35449999999999998</v>
      </c>
      <c r="L19" s="5">
        <f>K19/(J19*10^(-3))</f>
        <v>17.799758987748543</v>
      </c>
    </row>
    <row r="20" spans="2:12" x14ac:dyDescent="0.3">
      <c r="B20" s="1" t="s">
        <v>21</v>
      </c>
      <c r="C20" s="1" t="s">
        <v>20</v>
      </c>
      <c r="D20" s="2">
        <v>20.029</v>
      </c>
      <c r="E20" s="3">
        <v>0.1103</v>
      </c>
      <c r="F20" s="5">
        <f t="shared" ref="F20:F22" si="4">E20/(D20*10^(-3))</f>
        <v>5.5070148284986766</v>
      </c>
      <c r="H20" s="1" t="s">
        <v>33</v>
      </c>
      <c r="I20" s="1" t="s">
        <v>32</v>
      </c>
      <c r="J20" s="2">
        <v>19.984999999999999</v>
      </c>
      <c r="K20" s="3">
        <v>0.35560000000000003</v>
      </c>
      <c r="L20" s="5">
        <f t="shared" ref="L20:L22" si="5">K20/(J20*10^(-3))</f>
        <v>17.793345008756571</v>
      </c>
    </row>
    <row r="21" spans="2:12" x14ac:dyDescent="0.3">
      <c r="B21" s="1" t="s">
        <v>22</v>
      </c>
      <c r="C21" s="1" t="s">
        <v>23</v>
      </c>
      <c r="D21" s="2">
        <v>20.039000000000001</v>
      </c>
      <c r="E21" s="3">
        <v>0.1103</v>
      </c>
      <c r="F21" s="5">
        <f t="shared" si="4"/>
        <v>5.5042666799740498</v>
      </c>
      <c r="H21" s="1" t="s">
        <v>34</v>
      </c>
      <c r="I21" s="1" t="s">
        <v>35</v>
      </c>
      <c r="J21" s="2">
        <v>19.911999999999999</v>
      </c>
      <c r="K21" s="3">
        <v>0.35439999999999999</v>
      </c>
      <c r="L21" s="5">
        <f t="shared" si="5"/>
        <v>17.798312575331458</v>
      </c>
    </row>
    <row r="22" spans="2:12" x14ac:dyDescent="0.3">
      <c r="B22" s="1" t="s">
        <v>23</v>
      </c>
      <c r="C22" s="1" t="s">
        <v>22</v>
      </c>
      <c r="D22" s="2">
        <v>20.035</v>
      </c>
      <c r="E22" s="3">
        <v>0.1103</v>
      </c>
      <c r="F22" s="5">
        <f t="shared" si="4"/>
        <v>5.5053656101821806</v>
      </c>
      <c r="H22" s="1" t="s">
        <v>35</v>
      </c>
      <c r="I22" s="1" t="s">
        <v>34</v>
      </c>
      <c r="J22" s="2">
        <v>19.934000000000001</v>
      </c>
      <c r="K22" s="3">
        <v>0.35470000000000002</v>
      </c>
      <c r="L22" s="5">
        <f t="shared" si="5"/>
        <v>17.793719273602889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5.5059950631117971</v>
      </c>
      <c r="H23" s="12" t="s">
        <v>18</v>
      </c>
      <c r="I23" s="12"/>
      <c r="J23" s="12"/>
      <c r="K23" s="12"/>
      <c r="L23" s="5">
        <f>AVERAGE(L19:L22)</f>
        <v>17.796283961359865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0FDD-EE86-4A02-90AF-294DD37B0A9B}">
  <dimension ref="B1:R23"/>
  <sheetViews>
    <sheetView workbookViewId="0">
      <selection activeCell="F22" sqref="F22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19.992000000000001</v>
      </c>
      <c r="E3" s="3">
        <v>0.1177</v>
      </c>
      <c r="F3" s="5">
        <f>E3/(D3*10^(-3))</f>
        <v>5.8873549419767901</v>
      </c>
      <c r="H3" s="1" t="s">
        <v>24</v>
      </c>
      <c r="I3" s="1" t="s">
        <v>25</v>
      </c>
      <c r="J3" s="2">
        <v>19.986999999999998</v>
      </c>
      <c r="K3" s="3">
        <v>0.24590000000000001</v>
      </c>
      <c r="L3" s="5">
        <f>K3/(J3*10^(-3))</f>
        <v>12.302996948016212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19.992999999999999</v>
      </c>
      <c r="E4" s="3">
        <v>0.1177</v>
      </c>
      <c r="F4" s="5">
        <f t="shared" ref="F4:F6" si="0">E4/(D4*10^(-3))</f>
        <v>5.8870604711649079</v>
      </c>
      <c r="H4" s="1" t="s">
        <v>25</v>
      </c>
      <c r="I4" s="1" t="s">
        <v>24</v>
      </c>
      <c r="J4" s="2">
        <v>19.986000000000001</v>
      </c>
      <c r="K4" s="3">
        <v>0.24579999999999999</v>
      </c>
      <c r="L4" s="5">
        <f t="shared" ref="L4:L6" si="1">K4/(J4*10^(-3))</f>
        <v>12.298609026318422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19.998000000000001</v>
      </c>
      <c r="E5" s="3">
        <v>0.1177</v>
      </c>
      <c r="F5" s="5">
        <f t="shared" si="0"/>
        <v>5.8855885588558854</v>
      </c>
      <c r="H5" s="1" t="s">
        <v>26</v>
      </c>
      <c r="I5" s="1" t="s">
        <v>27</v>
      </c>
      <c r="J5" s="2">
        <v>19.984999999999999</v>
      </c>
      <c r="K5" s="3">
        <v>0.24579999999999999</v>
      </c>
      <c r="L5" s="5">
        <f t="shared" si="1"/>
        <v>12.299224418313734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19.992000000000001</v>
      </c>
      <c r="E6" s="3">
        <v>0.1176</v>
      </c>
      <c r="F6" s="5">
        <f t="shared" si="0"/>
        <v>5.8823529411764692</v>
      </c>
      <c r="H6" s="1" t="s">
        <v>27</v>
      </c>
      <c r="I6" s="1" t="s">
        <v>26</v>
      </c>
      <c r="J6" s="2">
        <v>19.986000000000001</v>
      </c>
      <c r="K6" s="3">
        <v>0.24590000000000001</v>
      </c>
      <c r="L6" s="5">
        <f t="shared" si="1"/>
        <v>12.30361252877014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5.8855892282935134</v>
      </c>
      <c r="H7" s="12" t="s">
        <v>18</v>
      </c>
      <c r="I7" s="12"/>
      <c r="J7" s="12"/>
      <c r="K7" s="12"/>
      <c r="L7" s="5">
        <f>AVERAGE(L3:L6)</f>
        <v>12.301110730354626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20.004999999999999</v>
      </c>
      <c r="E11" s="3">
        <v>0.1225</v>
      </c>
      <c r="F11" s="5">
        <f>E11/(D11*10^(-3))</f>
        <v>6.1234691327168216</v>
      </c>
      <c r="H11" s="1" t="s">
        <v>28</v>
      </c>
      <c r="I11" s="1" t="s">
        <v>29</v>
      </c>
      <c r="J11" s="2">
        <v>19.995999999999999</v>
      </c>
      <c r="K11" s="3">
        <v>0.25219999999999998</v>
      </c>
      <c r="L11" s="5">
        <f>K11/(J11*10^(-3))</f>
        <v>12.6125225045009</v>
      </c>
    </row>
    <row r="12" spans="2:18" x14ac:dyDescent="0.3">
      <c r="B12" s="1" t="s">
        <v>13</v>
      </c>
      <c r="C12" s="1" t="s">
        <v>12</v>
      </c>
      <c r="D12" s="2">
        <v>19.998999999999999</v>
      </c>
      <c r="E12" s="3">
        <v>0.12239999999999999</v>
      </c>
      <c r="F12" s="5">
        <f t="shared" ref="F12:F14" si="2">E12/(D12*10^(-3))</f>
        <v>6.1203060153007653</v>
      </c>
      <c r="H12" s="1" t="s">
        <v>29</v>
      </c>
      <c r="I12" s="1" t="s">
        <v>28</v>
      </c>
      <c r="J12" s="2">
        <v>20.018999999999998</v>
      </c>
      <c r="K12" s="3">
        <v>0.2525</v>
      </c>
      <c r="L12" s="5">
        <f t="shared" ref="L12:L14" si="3">K12/(J12*10^(-3))</f>
        <v>12.613017633248415</v>
      </c>
    </row>
    <row r="13" spans="2:18" x14ac:dyDescent="0.3">
      <c r="B13" s="1" t="s">
        <v>14</v>
      </c>
      <c r="C13" s="1" t="s">
        <v>15</v>
      </c>
      <c r="D13" s="2">
        <v>19.994</v>
      </c>
      <c r="E13" s="3">
        <v>0.12239999999999999</v>
      </c>
      <c r="F13" s="5">
        <f t="shared" si="2"/>
        <v>6.1218365509652886</v>
      </c>
      <c r="H13" s="1" t="s">
        <v>30</v>
      </c>
      <c r="I13" s="1" t="s">
        <v>31</v>
      </c>
      <c r="J13" s="2">
        <v>20.018999999999998</v>
      </c>
      <c r="K13" s="3">
        <v>0.2525</v>
      </c>
      <c r="L13" s="5">
        <f t="shared" si="3"/>
        <v>12.613017633248415</v>
      </c>
    </row>
    <row r="14" spans="2:18" x14ac:dyDescent="0.3">
      <c r="B14" s="1" t="s">
        <v>15</v>
      </c>
      <c r="C14" s="1" t="s">
        <v>14</v>
      </c>
      <c r="D14" s="2">
        <v>19.991</v>
      </c>
      <c r="E14" s="3">
        <v>0.12239999999999999</v>
      </c>
      <c r="F14" s="5">
        <f t="shared" si="2"/>
        <v>6.1227552398579359</v>
      </c>
      <c r="H14" s="1" t="s">
        <v>31</v>
      </c>
      <c r="I14" s="1" t="s">
        <v>30</v>
      </c>
      <c r="J14" s="2">
        <v>19.994</v>
      </c>
      <c r="K14" s="3">
        <v>0.25219999999999998</v>
      </c>
      <c r="L14" s="5">
        <f t="shared" si="3"/>
        <v>12.61378413524057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6.1220917347102031</v>
      </c>
      <c r="H15" s="12" t="s">
        <v>18</v>
      </c>
      <c r="I15" s="12"/>
      <c r="J15" s="12"/>
      <c r="K15" s="12"/>
      <c r="L15" s="5">
        <f>AVERAGE(L11:L14)</f>
        <v>12.613085476559574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19.992000000000001</v>
      </c>
      <c r="E19" s="3">
        <v>0.12189999999999999</v>
      </c>
      <c r="F19" s="5">
        <f>E19/(D19*10^(-3))</f>
        <v>6.0974389755902347</v>
      </c>
      <c r="H19" s="1" t="s">
        <v>32</v>
      </c>
      <c r="I19" s="1" t="s">
        <v>33</v>
      </c>
      <c r="J19" s="2">
        <v>20.033999999999999</v>
      </c>
      <c r="K19" s="3">
        <v>0.3765</v>
      </c>
      <c r="L19" s="5">
        <f>K19/(J19*10^(-3))</f>
        <v>18.793051811919735</v>
      </c>
    </row>
    <row r="20" spans="2:12" x14ac:dyDescent="0.3">
      <c r="B20" s="1" t="s">
        <v>21</v>
      </c>
      <c r="C20" s="1" t="s">
        <v>20</v>
      </c>
      <c r="D20" s="2">
        <v>19.978999999999999</v>
      </c>
      <c r="E20" s="3">
        <v>0.12180000000000001</v>
      </c>
      <c r="F20" s="5">
        <f t="shared" ref="F20:F22" si="4">E20/(D20*10^(-3))</f>
        <v>6.0964012212823464</v>
      </c>
      <c r="H20" s="1" t="s">
        <v>33</v>
      </c>
      <c r="I20" s="1" t="s">
        <v>32</v>
      </c>
      <c r="J20" s="2">
        <v>19.998999999999999</v>
      </c>
      <c r="K20" s="3">
        <v>0.37580000000000002</v>
      </c>
      <c r="L20" s="5">
        <f t="shared" ref="L20:L22" si="5">K20/(J20*10^(-3))</f>
        <v>18.790939546977352</v>
      </c>
    </row>
    <row r="21" spans="2:12" x14ac:dyDescent="0.3">
      <c r="B21" s="1" t="s">
        <v>22</v>
      </c>
      <c r="C21" s="1" t="s">
        <v>23</v>
      </c>
      <c r="D21" s="2">
        <v>19.986000000000001</v>
      </c>
      <c r="E21" s="3">
        <v>0.12189999999999999</v>
      </c>
      <c r="F21" s="5">
        <f t="shared" si="4"/>
        <v>6.0992694886420491</v>
      </c>
      <c r="H21" s="1" t="s">
        <v>34</v>
      </c>
      <c r="I21" s="1" t="s">
        <v>35</v>
      </c>
      <c r="J21" s="2">
        <v>20.001000000000001</v>
      </c>
      <c r="K21" s="3">
        <v>0.37590000000000001</v>
      </c>
      <c r="L21" s="5">
        <f t="shared" si="5"/>
        <v>18.794060296985151</v>
      </c>
    </row>
    <row r="22" spans="2:12" x14ac:dyDescent="0.3">
      <c r="B22" s="1" t="s">
        <v>23</v>
      </c>
      <c r="C22" s="1" t="s">
        <v>22</v>
      </c>
      <c r="D22" s="2">
        <v>19.981999999999999</v>
      </c>
      <c r="E22" s="3">
        <v>0.12180000000000001</v>
      </c>
      <c r="F22" s="5">
        <f t="shared" si="4"/>
        <v>6.0954859373436099</v>
      </c>
      <c r="H22" s="1" t="s">
        <v>35</v>
      </c>
      <c r="I22" s="1" t="s">
        <v>34</v>
      </c>
      <c r="J22" s="2">
        <v>20.018999999999998</v>
      </c>
      <c r="K22" s="3">
        <v>0.37619999999999998</v>
      </c>
      <c r="L22" s="5">
        <f t="shared" si="5"/>
        <v>18.792147459913082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6.09714890571456</v>
      </c>
      <c r="H23" s="12" t="s">
        <v>18</v>
      </c>
      <c r="I23" s="12"/>
      <c r="J23" s="12"/>
      <c r="K23" s="12"/>
      <c r="L23" s="5">
        <f>AVERAGE(L19:L22)</f>
        <v>18.792549778948832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3B73-A966-4175-A89D-EF862BF81698}">
  <dimension ref="B1:R23"/>
  <sheetViews>
    <sheetView workbookViewId="0">
      <selection activeCell="G23" sqref="G23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19.981000000000002</v>
      </c>
      <c r="E3" s="3">
        <v>0.1177</v>
      </c>
      <c r="F3" s="5">
        <f>E3/(D3*10^(-3))</f>
        <v>5.8905960662629493</v>
      </c>
      <c r="H3" s="1" t="s">
        <v>24</v>
      </c>
      <c r="I3" s="1" t="s">
        <v>25</v>
      </c>
      <c r="J3" s="2">
        <v>19.966000000000001</v>
      </c>
      <c r="K3" s="3">
        <v>0.2427</v>
      </c>
      <c r="L3" s="5">
        <f>K3/(J3*10^(-3))</f>
        <v>12.155664629870779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19.965</v>
      </c>
      <c r="E4" s="3">
        <v>0.1176</v>
      </c>
      <c r="F4" s="5">
        <f t="shared" ref="F4:F6" si="0">E4/(D4*10^(-3))</f>
        <v>5.8903080390683691</v>
      </c>
      <c r="H4" s="1" t="s">
        <v>25</v>
      </c>
      <c r="I4" s="1" t="s">
        <v>24</v>
      </c>
      <c r="J4" s="2">
        <v>19.960999999999999</v>
      </c>
      <c r="K4" s="3">
        <v>0.24260000000000001</v>
      </c>
      <c r="L4" s="5">
        <f t="shared" ref="L4:L6" si="1">K4/(J4*10^(-3))</f>
        <v>12.153699714443166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19.981999999999999</v>
      </c>
      <c r="E5" s="3">
        <v>0.1177</v>
      </c>
      <c r="F5" s="5">
        <f t="shared" si="0"/>
        <v>5.8903012711440299</v>
      </c>
      <c r="H5" s="1" t="s">
        <v>26</v>
      </c>
      <c r="I5" s="1" t="s">
        <v>27</v>
      </c>
      <c r="J5" s="2">
        <v>19.968</v>
      </c>
      <c r="K5" s="3">
        <v>0.2427</v>
      </c>
      <c r="L5" s="5">
        <f t="shared" si="1"/>
        <v>12.154447115384615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19.969000000000001</v>
      </c>
      <c r="E6" s="3">
        <v>0.1177</v>
      </c>
      <c r="F6" s="5">
        <f t="shared" si="0"/>
        <v>5.8941359106615252</v>
      </c>
      <c r="H6" s="1" t="s">
        <v>27</v>
      </c>
      <c r="I6" s="1" t="s">
        <v>26</v>
      </c>
      <c r="J6" s="2">
        <v>19.966000000000001</v>
      </c>
      <c r="K6" s="3">
        <v>0.2427</v>
      </c>
      <c r="L6" s="5">
        <f t="shared" si="1"/>
        <v>12.155664629870779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5.8913353217842186</v>
      </c>
      <c r="H7" s="12" t="s">
        <v>18</v>
      </c>
      <c r="I7" s="12"/>
      <c r="J7" s="12"/>
      <c r="K7" s="12"/>
      <c r="L7" s="5">
        <f>AVERAGE(L3:L6)</f>
        <v>12.154869022392335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19.971</v>
      </c>
      <c r="E11" s="3">
        <v>0.1192</v>
      </c>
      <c r="F11" s="5">
        <f>E11/(D11*10^(-3))</f>
        <v>5.9686545490961898</v>
      </c>
      <c r="H11" s="1" t="s">
        <v>28</v>
      </c>
      <c r="I11" s="1" t="s">
        <v>29</v>
      </c>
      <c r="J11" s="2">
        <v>19.966999999999999</v>
      </c>
      <c r="K11" s="3">
        <v>0.24329999999999999</v>
      </c>
      <c r="L11" s="5">
        <f>K11/(J11*10^(-3))</f>
        <v>12.185105423949517</v>
      </c>
    </row>
    <row r="12" spans="2:18" x14ac:dyDescent="0.3">
      <c r="B12" s="1" t="s">
        <v>13</v>
      </c>
      <c r="C12" s="1" t="s">
        <v>12</v>
      </c>
      <c r="D12" s="2">
        <v>19.972000000000001</v>
      </c>
      <c r="E12" s="3">
        <v>0.1192</v>
      </c>
      <c r="F12" s="5">
        <f t="shared" ref="F12:F14" si="2">E12/(D12*10^(-3))</f>
        <v>5.9683556979771684</v>
      </c>
      <c r="H12" s="1" t="s">
        <v>29</v>
      </c>
      <c r="I12" s="1" t="s">
        <v>28</v>
      </c>
      <c r="J12" s="2">
        <v>19.969000000000001</v>
      </c>
      <c r="K12" s="3">
        <v>0.24329999999999999</v>
      </c>
      <c r="L12" s="5">
        <f t="shared" ref="L12:L14" si="3">K12/(J12*10^(-3))</f>
        <v>12.183885021783764</v>
      </c>
    </row>
    <row r="13" spans="2:18" x14ac:dyDescent="0.3">
      <c r="B13" s="1" t="s">
        <v>14</v>
      </c>
      <c r="C13" s="1" t="s">
        <v>15</v>
      </c>
      <c r="D13" s="2">
        <v>19.968</v>
      </c>
      <c r="E13" s="3">
        <v>0.1192</v>
      </c>
      <c r="F13" s="5">
        <f t="shared" si="2"/>
        <v>5.9695512820512819</v>
      </c>
      <c r="H13" s="1" t="s">
        <v>30</v>
      </c>
      <c r="I13" s="1" t="s">
        <v>31</v>
      </c>
      <c r="J13" s="2">
        <v>19.968</v>
      </c>
      <c r="K13" s="3">
        <v>0.24329999999999999</v>
      </c>
      <c r="L13" s="5">
        <f t="shared" si="3"/>
        <v>12.184495192307692</v>
      </c>
    </row>
    <row r="14" spans="2:18" x14ac:dyDescent="0.3">
      <c r="B14" s="1" t="s">
        <v>15</v>
      </c>
      <c r="C14" s="1" t="s">
        <v>14</v>
      </c>
      <c r="D14" s="2">
        <v>19.969000000000001</v>
      </c>
      <c r="E14" s="3">
        <v>0.1192</v>
      </c>
      <c r="F14" s="5">
        <f t="shared" si="2"/>
        <v>5.9692523411287493</v>
      </c>
      <c r="H14" s="1" t="s">
        <v>31</v>
      </c>
      <c r="I14" s="1" t="s">
        <v>30</v>
      </c>
      <c r="J14" s="2">
        <v>19.968</v>
      </c>
      <c r="K14" s="3">
        <v>0.24329999999999999</v>
      </c>
      <c r="L14" s="5">
        <f t="shared" si="3"/>
        <v>12.184495192307692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5.9689534675633471</v>
      </c>
      <c r="H15" s="12" t="s">
        <v>18</v>
      </c>
      <c r="I15" s="12"/>
      <c r="J15" s="12"/>
      <c r="K15" s="12"/>
      <c r="L15" s="5">
        <f>AVERAGE(L11:L14)</f>
        <v>12.184495207587167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19.969000000000001</v>
      </c>
      <c r="E19" s="3">
        <v>0.1182</v>
      </c>
      <c r="F19" s="5">
        <f>E19/(D19*10^(-3))</f>
        <v>5.9191747208172663</v>
      </c>
      <c r="H19" s="1" t="s">
        <v>32</v>
      </c>
      <c r="I19" s="1" t="s">
        <v>33</v>
      </c>
      <c r="J19" s="2">
        <v>19.995000000000001</v>
      </c>
      <c r="K19" s="3">
        <v>0.36749999999999999</v>
      </c>
      <c r="L19" s="5">
        <f>K19/(J19*10^(-3))</f>
        <v>18.37959489872468</v>
      </c>
    </row>
    <row r="20" spans="2:12" x14ac:dyDescent="0.3">
      <c r="B20" s="1" t="s">
        <v>21</v>
      </c>
      <c r="C20" s="1" t="s">
        <v>20</v>
      </c>
      <c r="D20" s="2">
        <v>19.969000000000001</v>
      </c>
      <c r="E20" s="3">
        <v>0.1181</v>
      </c>
      <c r="F20" s="5">
        <f t="shared" ref="F20:F22" si="4">E20/(D20*10^(-3))</f>
        <v>5.9141669587861179</v>
      </c>
      <c r="H20" s="1" t="s">
        <v>33</v>
      </c>
      <c r="I20" s="1" t="s">
        <v>32</v>
      </c>
      <c r="J20" s="2">
        <v>19.969000000000001</v>
      </c>
      <c r="K20" s="3">
        <v>0.3669</v>
      </c>
      <c r="L20" s="5">
        <f t="shared" ref="L20:L22" si="5">K20/(J20*10^(-3))</f>
        <v>18.373478892283039</v>
      </c>
    </row>
    <row r="21" spans="2:12" x14ac:dyDescent="0.3">
      <c r="B21" s="1" t="s">
        <v>22</v>
      </c>
      <c r="C21" s="1" t="s">
        <v>23</v>
      </c>
      <c r="D21" s="2">
        <v>19.975000000000001</v>
      </c>
      <c r="E21" s="3">
        <v>0.1182</v>
      </c>
      <c r="F21" s="5">
        <f t="shared" si="4"/>
        <v>5.9173967459324146</v>
      </c>
      <c r="H21" s="1" t="s">
        <v>34</v>
      </c>
      <c r="I21" s="1" t="s">
        <v>35</v>
      </c>
      <c r="J21" s="2">
        <v>19.992000000000001</v>
      </c>
      <c r="K21" s="3">
        <v>0.3674</v>
      </c>
      <c r="L21" s="5">
        <f t="shared" si="5"/>
        <v>18.377350940376147</v>
      </c>
    </row>
    <row r="22" spans="2:12" x14ac:dyDescent="0.3">
      <c r="B22" s="1" t="s">
        <v>23</v>
      </c>
      <c r="C22" s="1" t="s">
        <v>22</v>
      </c>
      <c r="D22" s="2">
        <v>19.966000000000001</v>
      </c>
      <c r="E22" s="3">
        <v>0.1181</v>
      </c>
      <c r="F22" s="5">
        <f t="shared" si="4"/>
        <v>5.915055594510668</v>
      </c>
      <c r="H22" s="1" t="s">
        <v>35</v>
      </c>
      <c r="I22" s="1" t="s">
        <v>34</v>
      </c>
      <c r="J22" s="2">
        <v>19.966999999999999</v>
      </c>
      <c r="K22" s="3">
        <v>0.36699999999999999</v>
      </c>
      <c r="L22" s="5">
        <f t="shared" si="5"/>
        <v>18.38032754044173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5.9164485050116173</v>
      </c>
      <c r="H23" s="12" t="s">
        <v>18</v>
      </c>
      <c r="I23" s="12"/>
      <c r="J23" s="12"/>
      <c r="K23" s="12"/>
      <c r="L23" s="5">
        <f>AVERAGE(L19:L22)</f>
        <v>18.377688067956399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6480-8837-4A45-A9C9-CFF8A8DB6160}">
  <dimension ref="B1:R23"/>
  <sheetViews>
    <sheetView workbookViewId="0">
      <selection activeCell="D16" sqref="D16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19.969000000000001</v>
      </c>
      <c r="E3" s="3">
        <v>0.1148</v>
      </c>
      <c r="F3" s="5">
        <f>E3/(D3*10^(-3))</f>
        <v>5.7489108117582246</v>
      </c>
      <c r="H3" s="1" t="s">
        <v>24</v>
      </c>
      <c r="I3" s="1" t="s">
        <v>25</v>
      </c>
      <c r="J3" s="2">
        <v>19.952000000000002</v>
      </c>
      <c r="K3" s="3">
        <v>0.2336</v>
      </c>
      <c r="L3" s="5">
        <f>K3/(J3*10^(-3))</f>
        <v>11.708099438652766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19.972000000000001</v>
      </c>
      <c r="E4" s="3">
        <v>0.1148</v>
      </c>
      <c r="F4" s="5">
        <f t="shared" ref="F4:F6" si="0">E4/(D4*10^(-3))</f>
        <v>5.7480472661726418</v>
      </c>
      <c r="H4" s="1" t="s">
        <v>25</v>
      </c>
      <c r="I4" s="1" t="s">
        <v>24</v>
      </c>
      <c r="J4" s="2">
        <v>19.981000000000002</v>
      </c>
      <c r="K4" s="3">
        <v>0.2339</v>
      </c>
      <c r="L4" s="5">
        <f t="shared" ref="L4:L6" si="1">K4/(J4*10^(-3))</f>
        <v>11.706120814774033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19.968</v>
      </c>
      <c r="E5" s="3">
        <v>0.1148</v>
      </c>
      <c r="F5" s="5">
        <f t="shared" si="0"/>
        <v>5.7491987179487181</v>
      </c>
      <c r="H5" s="1" t="s">
        <v>26</v>
      </c>
      <c r="I5" s="1" t="s">
        <v>27</v>
      </c>
      <c r="J5" s="2">
        <v>19.978999999999999</v>
      </c>
      <c r="K5" s="3">
        <v>0.2339</v>
      </c>
      <c r="L5" s="5">
        <f t="shared" si="1"/>
        <v>11.707292657290154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19.966999999999999</v>
      </c>
      <c r="E6" s="3">
        <v>0.1148</v>
      </c>
      <c r="F6" s="5">
        <f t="shared" si="0"/>
        <v>5.7494866529774127</v>
      </c>
      <c r="H6" s="1" t="s">
        <v>27</v>
      </c>
      <c r="I6" s="1" t="s">
        <v>26</v>
      </c>
      <c r="J6" s="2">
        <v>19.943000000000001</v>
      </c>
      <c r="K6" s="3">
        <v>0.23350000000000001</v>
      </c>
      <c r="L6" s="5">
        <f t="shared" si="1"/>
        <v>11.708368851225993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5.7489108622142497</v>
      </c>
      <c r="H7" s="12" t="s">
        <v>18</v>
      </c>
      <c r="I7" s="12"/>
      <c r="J7" s="12"/>
      <c r="K7" s="12"/>
      <c r="L7" s="5">
        <f>AVERAGE(L3:L6)</f>
        <v>11.707470440485736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19.983000000000001</v>
      </c>
      <c r="E11" s="3">
        <v>0.1134</v>
      </c>
      <c r="F11" s="5">
        <f>E11/(D11*10^(-3))</f>
        <v>5.6748236000600505</v>
      </c>
      <c r="H11" s="1" t="s">
        <v>28</v>
      </c>
      <c r="I11" s="1" t="s">
        <v>29</v>
      </c>
      <c r="J11" s="2"/>
      <c r="K11" s="3"/>
      <c r="L11" s="5" t="e">
        <f>K11/(J11*10^(-3))</f>
        <v>#DIV/0!</v>
      </c>
    </row>
    <row r="12" spans="2:18" x14ac:dyDescent="0.3">
      <c r="B12" s="1" t="s">
        <v>13</v>
      </c>
      <c r="C12" s="1" t="s">
        <v>12</v>
      </c>
      <c r="D12" s="2">
        <v>19.972999999999999</v>
      </c>
      <c r="E12" s="3">
        <v>0.1133</v>
      </c>
      <c r="F12" s="5">
        <f t="shared" ref="F12:F14" si="2">E12/(D12*10^(-3))</f>
        <v>5.6726580884193663</v>
      </c>
      <c r="H12" s="1" t="s">
        <v>29</v>
      </c>
      <c r="I12" s="1" t="s">
        <v>28</v>
      </c>
      <c r="J12" s="2"/>
      <c r="K12" s="3"/>
      <c r="L12" s="5" t="e">
        <f t="shared" ref="L12:L14" si="3">K12/(J12*10^(-3))</f>
        <v>#DIV/0!</v>
      </c>
    </row>
    <row r="13" spans="2:18" x14ac:dyDescent="0.3">
      <c r="B13" s="1" t="s">
        <v>14</v>
      </c>
      <c r="C13" s="1" t="s">
        <v>15</v>
      </c>
      <c r="D13" s="2">
        <v>19.972000000000001</v>
      </c>
      <c r="E13" s="3">
        <v>0.1133</v>
      </c>
      <c r="F13" s="5">
        <f t="shared" si="2"/>
        <v>5.672942118966553</v>
      </c>
      <c r="H13" s="1" t="s">
        <v>30</v>
      </c>
      <c r="I13" s="1" t="s">
        <v>31</v>
      </c>
      <c r="J13" s="2"/>
      <c r="K13" s="3"/>
      <c r="L13" s="5" t="e">
        <f t="shared" si="3"/>
        <v>#DIV/0!</v>
      </c>
    </row>
    <row r="14" spans="2:18" x14ac:dyDescent="0.3">
      <c r="B14" s="1" t="s">
        <v>15</v>
      </c>
      <c r="C14" s="1" t="s">
        <v>14</v>
      </c>
      <c r="D14" s="2">
        <v>19.966000000000001</v>
      </c>
      <c r="E14" s="3">
        <v>0.1133</v>
      </c>
      <c r="F14" s="5">
        <f t="shared" si="2"/>
        <v>5.6746468997295398</v>
      </c>
      <c r="H14" s="1" t="s">
        <v>31</v>
      </c>
      <c r="I14" s="1" t="s">
        <v>30</v>
      </c>
      <c r="J14" s="2"/>
      <c r="K14" s="3"/>
      <c r="L14" s="5" t="e">
        <f t="shared" si="3"/>
        <v>#DIV/0!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5.6737676767938776</v>
      </c>
      <c r="H15" s="12" t="s">
        <v>18</v>
      </c>
      <c r="I15" s="12"/>
      <c r="J15" s="12"/>
      <c r="K15" s="12"/>
      <c r="L15" s="5" t="e">
        <f>AVERAGE(L11:L14)</f>
        <v>#DIV/0!</v>
      </c>
    </row>
    <row r="16" spans="2:18" x14ac:dyDescent="0.3">
      <c r="D16" t="s">
        <v>53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/>
      <c r="E19" s="3"/>
      <c r="F19" s="5" t="e">
        <f>E19/(D19*10^(-3))</f>
        <v>#DIV/0!</v>
      </c>
      <c r="H19" s="1" t="s">
        <v>32</v>
      </c>
      <c r="I19" s="1" t="s">
        <v>33</v>
      </c>
      <c r="J19" s="2"/>
      <c r="K19" s="3"/>
      <c r="L19" s="5" t="e">
        <f>K19/(J19*10^(-3))</f>
        <v>#DIV/0!</v>
      </c>
    </row>
    <row r="20" spans="2:12" x14ac:dyDescent="0.3">
      <c r="B20" s="1" t="s">
        <v>21</v>
      </c>
      <c r="C20" s="1" t="s">
        <v>20</v>
      </c>
      <c r="D20" s="2"/>
      <c r="E20" s="3"/>
      <c r="F20" s="5" t="e">
        <f t="shared" ref="F20:F22" si="4">E20/(D20*10^(-3))</f>
        <v>#DIV/0!</v>
      </c>
      <c r="H20" s="1" t="s">
        <v>33</v>
      </c>
      <c r="I20" s="1" t="s">
        <v>32</v>
      </c>
      <c r="J20" s="2"/>
      <c r="K20" s="3"/>
      <c r="L20" s="5" t="e">
        <f t="shared" ref="L20:L22" si="5">K20/(J20*10^(-3))</f>
        <v>#DIV/0!</v>
      </c>
    </row>
    <row r="21" spans="2:12" x14ac:dyDescent="0.3">
      <c r="B21" s="1" t="s">
        <v>22</v>
      </c>
      <c r="C21" s="1" t="s">
        <v>23</v>
      </c>
      <c r="D21" s="2"/>
      <c r="E21" s="3"/>
      <c r="F21" s="5" t="e">
        <f t="shared" si="4"/>
        <v>#DIV/0!</v>
      </c>
      <c r="H21" s="1" t="s">
        <v>34</v>
      </c>
      <c r="I21" s="1" t="s">
        <v>35</v>
      </c>
      <c r="J21" s="2"/>
      <c r="K21" s="3"/>
      <c r="L21" s="5" t="e">
        <f t="shared" si="5"/>
        <v>#DIV/0!</v>
      </c>
    </row>
    <row r="22" spans="2:12" x14ac:dyDescent="0.3">
      <c r="B22" s="1" t="s">
        <v>23</v>
      </c>
      <c r="C22" s="1" t="s">
        <v>22</v>
      </c>
      <c r="D22" s="2"/>
      <c r="E22" s="3"/>
      <c r="F22" s="5" t="e">
        <f t="shared" si="4"/>
        <v>#DIV/0!</v>
      </c>
      <c r="H22" s="1" t="s">
        <v>35</v>
      </c>
      <c r="I22" s="1" t="s">
        <v>34</v>
      </c>
      <c r="J22" s="2"/>
      <c r="K22" s="3"/>
      <c r="L22" s="5" t="e">
        <f t="shared" si="5"/>
        <v>#DIV/0!</v>
      </c>
    </row>
    <row r="23" spans="2:12" x14ac:dyDescent="0.3">
      <c r="B23" s="12" t="s">
        <v>18</v>
      </c>
      <c r="C23" s="12"/>
      <c r="D23" s="12"/>
      <c r="E23" s="12"/>
      <c r="F23" s="5" t="e">
        <f>AVERAGE(F19:F22)</f>
        <v>#DIV/0!</v>
      </c>
      <c r="H23" s="12" t="s">
        <v>18</v>
      </c>
      <c r="I23" s="12"/>
      <c r="J23" s="12"/>
      <c r="K23" s="12"/>
      <c r="L23" s="5" t="e">
        <f>AVERAGE(L19:L22)</f>
        <v>#DIV/0!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3512-6B1A-49B7-8F65-8CF74AE7CB87}">
  <dimension ref="B1:R23"/>
  <sheetViews>
    <sheetView workbookViewId="0">
      <selection activeCell="F22" sqref="F22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19.966000000000001</v>
      </c>
      <c r="E3" s="3">
        <v>9.6500000000000002E-2</v>
      </c>
      <c r="F3" s="5">
        <f>E3/(D3*10^(-3))</f>
        <v>4.8332164679955927</v>
      </c>
      <c r="H3" s="1" t="s">
        <v>24</v>
      </c>
      <c r="I3" s="1" t="s">
        <v>25</v>
      </c>
      <c r="J3" s="2">
        <v>19.957999999999998</v>
      </c>
      <c r="K3" s="3">
        <v>0.20749999999999999</v>
      </c>
      <c r="L3" s="5">
        <f>K3/(J3*10^(-3))</f>
        <v>10.396833350035074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19.962</v>
      </c>
      <c r="E4" s="3">
        <v>9.6500000000000002E-2</v>
      </c>
      <c r="F4" s="5">
        <f t="shared" ref="F4:F6" si="0">E4/(D4*10^(-3))</f>
        <v>4.8341849514076749</v>
      </c>
      <c r="H4" s="1" t="s">
        <v>25</v>
      </c>
      <c r="I4" s="1" t="s">
        <v>24</v>
      </c>
      <c r="J4" s="2">
        <v>19.981999999999999</v>
      </c>
      <c r="K4" s="3">
        <v>0.2079</v>
      </c>
      <c r="L4" s="5">
        <f>K4/(J4*10^(-3))</f>
        <v>10.404363927534781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19.969000000000001</v>
      </c>
      <c r="E5" s="3">
        <v>9.6500000000000002E-2</v>
      </c>
      <c r="F5" s="5">
        <f t="shared" si="0"/>
        <v>4.83249036005809</v>
      </c>
      <c r="H5" s="1" t="s">
        <v>26</v>
      </c>
      <c r="I5" s="1" t="s">
        <v>27</v>
      </c>
      <c r="J5" s="2">
        <v>19.98</v>
      </c>
      <c r="K5" s="3">
        <v>0.2079</v>
      </c>
      <c r="L5" s="5">
        <f t="shared" ref="L4:L6" si="1">K5/(J5*10^(-3))</f>
        <v>10.405405405405405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19.966999999999999</v>
      </c>
      <c r="E6" s="3">
        <v>9.6500000000000002E-2</v>
      </c>
      <c r="F6" s="5">
        <f t="shared" si="0"/>
        <v>4.8329744077728254</v>
      </c>
      <c r="H6" s="1" t="s">
        <v>27</v>
      </c>
      <c r="I6" s="1" t="s">
        <v>26</v>
      </c>
      <c r="J6" s="2">
        <v>19.951000000000001</v>
      </c>
      <c r="K6" s="3">
        <v>0.20749999999999999</v>
      </c>
      <c r="L6" s="5">
        <f t="shared" si="1"/>
        <v>10.400481178888276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4.8332165468085453</v>
      </c>
      <c r="H7" s="12" t="s">
        <v>18</v>
      </c>
      <c r="I7" s="12"/>
      <c r="J7" s="12"/>
      <c r="K7" s="12"/>
      <c r="L7" s="5">
        <f>AVERAGE(L3:L6)</f>
        <v>10.401770965465884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19.971</v>
      </c>
      <c r="E11" s="3">
        <v>0.1047</v>
      </c>
      <c r="F11" s="5">
        <f>E11/(D11*10^(-3))</f>
        <v>5.242601772570227</v>
      </c>
      <c r="H11" s="1" t="s">
        <v>28</v>
      </c>
      <c r="I11" s="1" t="s">
        <v>29</v>
      </c>
      <c r="J11" s="2">
        <v>19.959</v>
      </c>
      <c r="K11" s="3">
        <v>0.2261</v>
      </c>
      <c r="L11" s="5">
        <f>K11/(J11*10^(-3))</f>
        <v>11.328222856856556</v>
      </c>
    </row>
    <row r="12" spans="2:18" x14ac:dyDescent="0.3">
      <c r="B12" s="1" t="s">
        <v>13</v>
      </c>
      <c r="C12" s="1" t="s">
        <v>12</v>
      </c>
      <c r="D12" s="2">
        <v>19.945</v>
      </c>
      <c r="E12" s="3">
        <v>0.1046</v>
      </c>
      <c r="F12" s="5">
        <f t="shared" ref="F12:F14" si="2">E12/(D12*10^(-3))</f>
        <v>5.2444221609425918</v>
      </c>
      <c r="H12" s="1" t="s">
        <v>29</v>
      </c>
      <c r="I12" s="1" t="s">
        <v>28</v>
      </c>
      <c r="J12" s="2">
        <v>19.954999999999998</v>
      </c>
      <c r="K12" s="17">
        <v>0.22600000000000001</v>
      </c>
      <c r="L12" s="5">
        <f t="shared" ref="L12:L14" si="3">K12/(J12*10^(-3))</f>
        <v>11.325482335254325</v>
      </c>
    </row>
    <row r="13" spans="2:18" x14ac:dyDescent="0.3">
      <c r="B13" s="1" t="s">
        <v>14</v>
      </c>
      <c r="C13" s="1" t="s">
        <v>15</v>
      </c>
      <c r="D13" s="2">
        <v>19.948</v>
      </c>
      <c r="E13" s="3">
        <v>0.1046</v>
      </c>
      <c r="F13" s="5">
        <f t="shared" si="2"/>
        <v>5.2436334469621011</v>
      </c>
      <c r="H13" s="1" t="s">
        <v>30</v>
      </c>
      <c r="I13" s="1" t="s">
        <v>31</v>
      </c>
      <c r="J13" s="2">
        <v>19.949000000000002</v>
      </c>
      <c r="K13" s="17">
        <v>0.22600000000000001</v>
      </c>
      <c r="L13" s="5">
        <f t="shared" si="3"/>
        <v>11.328888666098551</v>
      </c>
    </row>
    <row r="14" spans="2:18" x14ac:dyDescent="0.3">
      <c r="B14" s="1" t="s">
        <v>15</v>
      </c>
      <c r="C14" s="1" t="s">
        <v>14</v>
      </c>
      <c r="D14" s="2">
        <v>19.968</v>
      </c>
      <c r="E14" s="3">
        <v>0.1047</v>
      </c>
      <c r="F14" s="5">
        <f t="shared" si="2"/>
        <v>5.2433894230769234</v>
      </c>
      <c r="H14" s="1" t="s">
        <v>31</v>
      </c>
      <c r="I14" s="1" t="s">
        <v>30</v>
      </c>
      <c r="J14" s="2">
        <v>19.957999999999998</v>
      </c>
      <c r="K14" s="3">
        <v>0.2261</v>
      </c>
      <c r="L14" s="5">
        <f t="shared" si="3"/>
        <v>11.328790459965928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5.2435117008879608</v>
      </c>
      <c r="H15" s="12" t="s">
        <v>18</v>
      </c>
      <c r="I15" s="12"/>
      <c r="J15" s="12"/>
      <c r="K15" s="12"/>
      <c r="L15" s="5">
        <f>AVERAGE(L11:L14)</f>
        <v>11.327846079543841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19.968</v>
      </c>
      <c r="E19" s="3">
        <v>0.1148</v>
      </c>
      <c r="F19" s="5">
        <f>E19/(D19*10^(-3))</f>
        <v>5.7491987179487181</v>
      </c>
      <c r="H19" s="1" t="s">
        <v>32</v>
      </c>
      <c r="I19" s="1" t="s">
        <v>33</v>
      </c>
      <c r="J19" s="2">
        <v>19.954999999999998</v>
      </c>
      <c r="K19" s="3">
        <v>0.3291</v>
      </c>
      <c r="L19" s="5">
        <f>K19/(J19*10^(-3))</f>
        <v>16.49210724129291</v>
      </c>
    </row>
    <row r="20" spans="2:12" x14ac:dyDescent="0.3">
      <c r="B20" s="1" t="s">
        <v>21</v>
      </c>
      <c r="C20" s="1" t="s">
        <v>20</v>
      </c>
      <c r="D20" s="2">
        <v>19.952000000000002</v>
      </c>
      <c r="E20" s="3">
        <v>0.1148</v>
      </c>
      <c r="F20" s="5">
        <f t="shared" ref="F20:F22" si="4">E20/(D20*10^(-3))</f>
        <v>5.753809141940657</v>
      </c>
      <c r="H20" s="1" t="s">
        <v>33</v>
      </c>
      <c r="I20" s="1" t="s">
        <v>32</v>
      </c>
      <c r="J20" s="2">
        <v>19.974</v>
      </c>
      <c r="K20" s="3">
        <v>0.32929999999999998</v>
      </c>
      <c r="L20" s="5">
        <f t="shared" ref="L20:L22" si="5">K20/(J20*10^(-3))</f>
        <v>16.486432362070691</v>
      </c>
    </row>
    <row r="21" spans="2:12" x14ac:dyDescent="0.3">
      <c r="B21" s="1" t="s">
        <v>22</v>
      </c>
      <c r="C21" s="1" t="s">
        <v>23</v>
      </c>
      <c r="D21" s="18">
        <v>19.96</v>
      </c>
      <c r="E21" s="3">
        <v>0.1148</v>
      </c>
      <c r="F21" s="5">
        <f t="shared" si="4"/>
        <v>5.7515030060120234</v>
      </c>
      <c r="H21" s="1" t="s">
        <v>34</v>
      </c>
      <c r="I21" s="1" t="s">
        <v>35</v>
      </c>
      <c r="J21" s="2">
        <v>19.975999999999999</v>
      </c>
      <c r="K21" s="3">
        <v>0.32940000000000003</v>
      </c>
      <c r="L21" s="5">
        <f t="shared" si="5"/>
        <v>16.489787745294354</v>
      </c>
    </row>
    <row r="22" spans="2:12" x14ac:dyDescent="0.3">
      <c r="B22" s="1" t="s">
        <v>23</v>
      </c>
      <c r="C22" s="1" t="s">
        <v>22</v>
      </c>
      <c r="D22" s="2">
        <v>19.972999999999999</v>
      </c>
      <c r="E22" s="17">
        <v>0.1149</v>
      </c>
      <c r="F22" s="5">
        <f t="shared" si="4"/>
        <v>5.7527662344164634</v>
      </c>
      <c r="H22" s="1" t="s">
        <v>35</v>
      </c>
      <c r="I22" s="1" t="s">
        <v>34</v>
      </c>
      <c r="J22" s="2">
        <v>19.952000000000002</v>
      </c>
      <c r="K22" s="3">
        <v>0.32890000000000003</v>
      </c>
      <c r="L22" s="5">
        <f t="shared" si="5"/>
        <v>16.484562951082598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5.7518192750794652</v>
      </c>
      <c r="H23" s="12" t="s">
        <v>18</v>
      </c>
      <c r="I23" s="12"/>
      <c r="J23" s="12"/>
      <c r="K23" s="12"/>
      <c r="L23" s="5">
        <f>AVERAGE(L19:L22)</f>
        <v>16.488222574935136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EC34-F729-4E18-BEF7-3E026FEACE39}">
  <dimension ref="B1:R23"/>
  <sheetViews>
    <sheetView tabSelected="1" workbookViewId="0">
      <selection activeCell="G25" sqref="G25"/>
    </sheetView>
  </sheetViews>
  <sheetFormatPr defaultRowHeight="14.4" x14ac:dyDescent="0.3"/>
  <cols>
    <col min="3" max="3" width="10.5546875" customWidth="1"/>
    <col min="4" max="4" width="12.88671875" customWidth="1"/>
    <col min="5" max="5" width="13.44140625" customWidth="1"/>
    <col min="6" max="6" width="16.109375" bestFit="1" customWidth="1"/>
    <col min="10" max="10" width="12.33203125" customWidth="1"/>
    <col min="11" max="11" width="12.21875" customWidth="1"/>
    <col min="12" max="12" width="16.6640625" customWidth="1"/>
    <col min="15" max="15" width="11.33203125" customWidth="1"/>
    <col min="16" max="16" width="11" customWidth="1"/>
    <col min="17" max="17" width="12.21875" customWidth="1"/>
    <col min="18" max="18" width="19.88671875" customWidth="1"/>
  </cols>
  <sheetData>
    <row r="1" spans="2:18" x14ac:dyDescent="0.3">
      <c r="B1" s="16" t="s">
        <v>0</v>
      </c>
      <c r="C1" s="16"/>
      <c r="D1" s="16"/>
      <c r="E1" s="16"/>
      <c r="F1" s="16"/>
      <c r="H1" s="16" t="s">
        <v>3</v>
      </c>
      <c r="I1" s="16"/>
      <c r="J1" s="16"/>
      <c r="K1" s="16"/>
      <c r="L1" s="16"/>
      <c r="N1" s="1"/>
      <c r="O1" s="6" t="s">
        <v>42</v>
      </c>
      <c r="P1" s="1" t="s">
        <v>43</v>
      </c>
      <c r="Q1" s="1" t="s">
        <v>44</v>
      </c>
      <c r="R1" s="9" t="s">
        <v>45</v>
      </c>
    </row>
    <row r="2" spans="2:18" x14ac:dyDescent="0.3">
      <c r="B2" s="1" t="s">
        <v>6</v>
      </c>
      <c r="C2" s="1" t="s">
        <v>7</v>
      </c>
      <c r="D2" s="1" t="s">
        <v>16</v>
      </c>
      <c r="E2" s="1" t="s">
        <v>17</v>
      </c>
      <c r="F2" s="1" t="s">
        <v>19</v>
      </c>
      <c r="H2" s="1" t="s">
        <v>6</v>
      </c>
      <c r="I2" s="1" t="s">
        <v>7</v>
      </c>
      <c r="J2" s="1" t="s">
        <v>16</v>
      </c>
      <c r="K2" s="1" t="s">
        <v>17</v>
      </c>
      <c r="L2" s="1" t="s">
        <v>19</v>
      </c>
      <c r="N2" s="7" t="s">
        <v>36</v>
      </c>
      <c r="O2" s="8">
        <v>2000</v>
      </c>
      <c r="P2" s="8">
        <v>200</v>
      </c>
      <c r="Q2" s="8">
        <v>75</v>
      </c>
      <c r="R2" s="10">
        <f>$N$10*(O2*10^-6)/((P2*10^-6)*(Q2*10^-9))</f>
        <v>3.8133333333333339</v>
      </c>
    </row>
    <row r="3" spans="2:18" x14ac:dyDescent="0.3">
      <c r="B3" s="1" t="s">
        <v>8</v>
      </c>
      <c r="C3" s="1" t="s">
        <v>9</v>
      </c>
      <c r="D3" s="2">
        <v>19.978999999999999</v>
      </c>
      <c r="E3" s="17">
        <v>0.112</v>
      </c>
      <c r="F3" s="5">
        <f>E3/(D3*10^(-3))</f>
        <v>5.6058861804895139</v>
      </c>
      <c r="H3" s="1" t="s">
        <v>24</v>
      </c>
      <c r="I3" s="1" t="s">
        <v>25</v>
      </c>
      <c r="J3" s="2">
        <v>19.972999999999999</v>
      </c>
      <c r="K3" s="3">
        <v>0.26069999999999999</v>
      </c>
      <c r="L3" s="5">
        <f>K3/(J3*10^(-3))</f>
        <v>13.052621038401844</v>
      </c>
      <c r="N3" s="1" t="s">
        <v>37</v>
      </c>
      <c r="O3" s="8"/>
      <c r="P3" s="8"/>
      <c r="Q3" s="8"/>
      <c r="R3" s="4"/>
    </row>
    <row r="4" spans="2:18" x14ac:dyDescent="0.3">
      <c r="B4" s="1" t="s">
        <v>9</v>
      </c>
      <c r="C4" s="1" t="s">
        <v>8</v>
      </c>
      <c r="D4" s="2">
        <v>19.965</v>
      </c>
      <c r="E4" s="3">
        <v>0.1119</v>
      </c>
      <c r="F4" s="5">
        <f t="shared" ref="F4:F6" si="0">E4/(D4*10^(-3))</f>
        <v>5.6048084147257704</v>
      </c>
      <c r="H4" s="1" t="s">
        <v>25</v>
      </c>
      <c r="I4" s="1" t="s">
        <v>24</v>
      </c>
      <c r="J4" s="2">
        <v>19.992999999999999</v>
      </c>
      <c r="K4" s="17">
        <v>0.26100000000000001</v>
      </c>
      <c r="L4" s="5">
        <f t="shared" ref="L4:L6" si="1">K4/(J4*10^(-3))</f>
        <v>13.054569099184715</v>
      </c>
      <c r="N4" s="1" t="s">
        <v>38</v>
      </c>
      <c r="O4" s="8"/>
      <c r="P4" s="8"/>
      <c r="Q4" s="8"/>
      <c r="R4" s="4"/>
    </row>
    <row r="5" spans="2:18" x14ac:dyDescent="0.3">
      <c r="B5" s="1" t="s">
        <v>10</v>
      </c>
      <c r="C5" s="1" t="s">
        <v>11</v>
      </c>
      <c r="D5" s="2">
        <v>19.978000000000002</v>
      </c>
      <c r="E5" s="17">
        <v>0.112</v>
      </c>
      <c r="F5" s="5">
        <f t="shared" si="0"/>
        <v>5.6061667834618074</v>
      </c>
      <c r="H5" s="1" t="s">
        <v>26</v>
      </c>
      <c r="I5" s="1" t="s">
        <v>27</v>
      </c>
      <c r="J5" s="2">
        <v>19.972000000000001</v>
      </c>
      <c r="K5" s="3">
        <v>0.26069999999999999</v>
      </c>
      <c r="L5" s="5">
        <f t="shared" si="1"/>
        <v>13.053274584418185</v>
      </c>
      <c r="N5" s="1" t="s">
        <v>39</v>
      </c>
      <c r="O5" s="8"/>
      <c r="P5" s="8"/>
      <c r="Q5" s="8"/>
      <c r="R5" s="4"/>
    </row>
    <row r="6" spans="2:18" x14ac:dyDescent="0.3">
      <c r="B6" s="1" t="s">
        <v>11</v>
      </c>
      <c r="C6" s="1" t="s">
        <v>10</v>
      </c>
      <c r="D6" s="2">
        <v>19.968</v>
      </c>
      <c r="E6" s="3">
        <v>0.1119</v>
      </c>
      <c r="F6" s="5">
        <f t="shared" si="0"/>
        <v>5.6039663461538458</v>
      </c>
      <c r="H6" s="1" t="s">
        <v>27</v>
      </c>
      <c r="I6" s="1" t="s">
        <v>26</v>
      </c>
      <c r="J6" s="2">
        <v>19.975000000000001</v>
      </c>
      <c r="K6" s="3">
        <v>0.26069999999999999</v>
      </c>
      <c r="L6" s="5">
        <f t="shared" si="1"/>
        <v>13.051314142678345</v>
      </c>
      <c r="N6" s="1" t="s">
        <v>40</v>
      </c>
      <c r="O6" s="8"/>
      <c r="P6" s="8"/>
      <c r="Q6" s="8"/>
      <c r="R6" s="4"/>
    </row>
    <row r="7" spans="2:18" x14ac:dyDescent="0.3">
      <c r="B7" s="12" t="s">
        <v>18</v>
      </c>
      <c r="C7" s="12"/>
      <c r="D7" s="12"/>
      <c r="E7" s="12"/>
      <c r="F7" s="5">
        <f>AVERAGE(F3:F6)</f>
        <v>5.6052069312077339</v>
      </c>
      <c r="H7" s="12" t="s">
        <v>18</v>
      </c>
      <c r="I7" s="12"/>
      <c r="J7" s="12"/>
      <c r="K7" s="12"/>
      <c r="L7" s="5">
        <f>AVERAGE(L3:L6)</f>
        <v>13.052944716170771</v>
      </c>
      <c r="N7" s="1" t="s">
        <v>41</v>
      </c>
      <c r="O7" s="8"/>
      <c r="P7" s="8"/>
      <c r="Q7" s="8"/>
      <c r="R7" s="4"/>
    </row>
    <row r="9" spans="2:18" x14ac:dyDescent="0.3">
      <c r="B9" s="16" t="s">
        <v>1</v>
      </c>
      <c r="C9" s="16"/>
      <c r="D9" s="16"/>
      <c r="E9" s="16"/>
      <c r="F9" s="16"/>
      <c r="H9" s="16" t="s">
        <v>4</v>
      </c>
      <c r="I9" s="16"/>
      <c r="J9" s="16"/>
      <c r="K9" s="16"/>
      <c r="L9" s="16"/>
      <c r="N9" s="13" t="s">
        <v>46</v>
      </c>
      <c r="O9" s="13"/>
    </row>
    <row r="10" spans="2:18" x14ac:dyDescent="0.3">
      <c r="B10" s="1" t="s">
        <v>6</v>
      </c>
      <c r="C10" s="1" t="s">
        <v>7</v>
      </c>
      <c r="D10" s="1" t="s">
        <v>16</v>
      </c>
      <c r="E10" s="1" t="s">
        <v>17</v>
      </c>
      <c r="F10" s="1" t="s">
        <v>19</v>
      </c>
      <c r="H10" s="1" t="s">
        <v>6</v>
      </c>
      <c r="I10" s="1" t="s">
        <v>7</v>
      </c>
      <c r="J10" s="1" t="s">
        <v>16</v>
      </c>
      <c r="K10" s="1" t="s">
        <v>17</v>
      </c>
      <c r="L10" s="1" t="s">
        <v>19</v>
      </c>
      <c r="N10" s="14">
        <v>2.8600000000000001E-8</v>
      </c>
      <c r="O10" s="15"/>
    </row>
    <row r="11" spans="2:18" x14ac:dyDescent="0.3">
      <c r="B11" s="1" t="s">
        <v>12</v>
      </c>
      <c r="C11" s="1" t="s">
        <v>13</v>
      </c>
      <c r="D11" s="2">
        <v>19.969000000000001</v>
      </c>
      <c r="E11" s="3">
        <v>0.1431</v>
      </c>
      <c r="F11" s="5">
        <f>E11/(D11*10^(-3))</f>
        <v>7.1661074665731883</v>
      </c>
      <c r="H11" s="1" t="s">
        <v>28</v>
      </c>
      <c r="I11" s="1" t="s">
        <v>29</v>
      </c>
      <c r="J11" s="2">
        <v>19.954000000000001</v>
      </c>
      <c r="K11" s="3">
        <v>0.26329999999999998</v>
      </c>
      <c r="L11" s="5">
        <f>K11/(J11*10^(-3))</f>
        <v>13.195349303397814</v>
      </c>
    </row>
    <row r="12" spans="2:18" x14ac:dyDescent="0.3">
      <c r="B12" s="1" t="s">
        <v>13</v>
      </c>
      <c r="C12" s="1" t="s">
        <v>12</v>
      </c>
      <c r="D12" s="2">
        <v>19.971</v>
      </c>
      <c r="E12" s="3">
        <v>0.1431</v>
      </c>
      <c r="F12" s="5">
        <f t="shared" ref="F12:F14" si="2">E12/(D12*10^(-3))</f>
        <v>7.1653898152320874</v>
      </c>
      <c r="H12" s="1" t="s">
        <v>29</v>
      </c>
      <c r="I12" s="1" t="s">
        <v>28</v>
      </c>
      <c r="J12" s="2">
        <v>20.001999999999999</v>
      </c>
      <c r="K12" s="3">
        <v>0.26390000000000002</v>
      </c>
      <c r="L12" s="5">
        <f t="shared" ref="L12:L14" si="3">K12/(J12*10^(-3))</f>
        <v>13.193680631936807</v>
      </c>
    </row>
    <row r="13" spans="2:18" x14ac:dyDescent="0.3">
      <c r="B13" s="1" t="s">
        <v>14</v>
      </c>
      <c r="C13" s="1" t="s">
        <v>15</v>
      </c>
      <c r="D13" s="2">
        <v>19.971</v>
      </c>
      <c r="E13" s="3">
        <v>0.1431</v>
      </c>
      <c r="F13" s="5">
        <f t="shared" si="2"/>
        <v>7.1653898152320874</v>
      </c>
      <c r="H13" s="1" t="s">
        <v>30</v>
      </c>
      <c r="I13" s="1" t="s">
        <v>31</v>
      </c>
      <c r="J13" s="2">
        <v>19.981000000000002</v>
      </c>
      <c r="K13" s="3">
        <v>0.26369999999999999</v>
      </c>
      <c r="L13" s="5">
        <f t="shared" si="3"/>
        <v>13.197537660777737</v>
      </c>
    </row>
    <row r="14" spans="2:18" x14ac:dyDescent="0.3">
      <c r="B14" s="1" t="s">
        <v>15</v>
      </c>
      <c r="C14" s="1" t="s">
        <v>14</v>
      </c>
      <c r="D14" s="2">
        <v>19.963000000000001</v>
      </c>
      <c r="E14" s="3">
        <v>0.14299999999999999</v>
      </c>
      <c r="F14" s="5">
        <f t="shared" si="2"/>
        <v>7.1632520162300244</v>
      </c>
      <c r="H14" s="1" t="s">
        <v>31</v>
      </c>
      <c r="I14" s="1" t="s">
        <v>30</v>
      </c>
      <c r="J14" s="2">
        <v>19.981999999999999</v>
      </c>
      <c r="K14" s="3">
        <v>0.2636</v>
      </c>
      <c r="L14" s="5">
        <f t="shared" si="3"/>
        <v>13.191872685416875</v>
      </c>
    </row>
    <row r="15" spans="2:18" x14ac:dyDescent="0.3">
      <c r="B15" s="12" t="s">
        <v>18</v>
      </c>
      <c r="C15" s="12"/>
      <c r="D15" s="12"/>
      <c r="E15" s="12"/>
      <c r="F15" s="5">
        <f>AVERAGE(F11:F14)</f>
        <v>7.1650347783168478</v>
      </c>
      <c r="H15" s="12" t="s">
        <v>18</v>
      </c>
      <c r="I15" s="12"/>
      <c r="J15" s="12"/>
      <c r="K15" s="12"/>
      <c r="L15" s="5">
        <f>AVERAGE(L11:L14)</f>
        <v>13.194610070382309</v>
      </c>
    </row>
    <row r="17" spans="2:12" x14ac:dyDescent="0.3">
      <c r="B17" s="16" t="s">
        <v>2</v>
      </c>
      <c r="C17" s="16"/>
      <c r="D17" s="16"/>
      <c r="E17" s="16"/>
      <c r="F17" s="16"/>
      <c r="H17" s="16" t="s">
        <v>5</v>
      </c>
      <c r="I17" s="16"/>
      <c r="J17" s="16"/>
      <c r="K17" s="16"/>
      <c r="L17" s="16"/>
    </row>
    <row r="18" spans="2:12" x14ac:dyDescent="0.3">
      <c r="B18" s="1" t="s">
        <v>6</v>
      </c>
      <c r="C18" s="1" t="s">
        <v>7</v>
      </c>
      <c r="D18" s="1" t="s">
        <v>16</v>
      </c>
      <c r="E18" s="1" t="s">
        <v>17</v>
      </c>
      <c r="F18" s="1" t="s">
        <v>19</v>
      </c>
      <c r="H18" s="1" t="s">
        <v>6</v>
      </c>
      <c r="I18" s="1" t="s">
        <v>7</v>
      </c>
      <c r="J18" s="1" t="s">
        <v>16</v>
      </c>
      <c r="K18" s="1" t="s">
        <v>17</v>
      </c>
      <c r="L18" s="1" t="s">
        <v>19</v>
      </c>
    </row>
    <row r="19" spans="2:12" x14ac:dyDescent="0.3">
      <c r="B19" s="1" t="s">
        <v>20</v>
      </c>
      <c r="C19" s="1" t="s">
        <v>21</v>
      </c>
      <c r="D19" s="2">
        <v>19.992000000000001</v>
      </c>
      <c r="E19" s="3">
        <v>0.1149</v>
      </c>
      <c r="F19" s="5">
        <f>E19/(D19*10^(-3))</f>
        <v>5.7472989195678261</v>
      </c>
      <c r="H19" s="1" t="s">
        <v>32</v>
      </c>
      <c r="I19" s="1" t="s">
        <v>33</v>
      </c>
      <c r="J19" s="2">
        <v>19.971</v>
      </c>
      <c r="K19" s="3">
        <v>0.38109999999999999</v>
      </c>
      <c r="L19" s="5">
        <f>K19/(J19*10^(-3))</f>
        <v>19.082669871313406</v>
      </c>
    </row>
    <row r="20" spans="2:12" x14ac:dyDescent="0.3">
      <c r="B20" s="1" t="s">
        <v>21</v>
      </c>
      <c r="C20" s="1" t="s">
        <v>20</v>
      </c>
      <c r="D20" s="2">
        <v>19.972000000000001</v>
      </c>
      <c r="E20" s="3">
        <v>0.1148</v>
      </c>
      <c r="F20" s="5">
        <f t="shared" ref="F20:F22" si="4">E20/(D20*10^(-3))</f>
        <v>5.7480472661726418</v>
      </c>
      <c r="H20" s="1" t="s">
        <v>33</v>
      </c>
      <c r="I20" s="1" t="s">
        <v>32</v>
      </c>
      <c r="J20" s="2">
        <v>19.957000000000001</v>
      </c>
      <c r="K20" s="3">
        <v>0.38080000000000003</v>
      </c>
      <c r="L20" s="5">
        <f t="shared" ref="L20:L22" si="5">K20/(J20*10^(-3))</f>
        <v>19.081024202034374</v>
      </c>
    </row>
    <row r="21" spans="2:12" x14ac:dyDescent="0.3">
      <c r="B21" s="1" t="s">
        <v>22</v>
      </c>
      <c r="C21" s="1" t="s">
        <v>23</v>
      </c>
      <c r="D21" s="18">
        <v>19.98</v>
      </c>
      <c r="E21" s="3">
        <v>0.1148</v>
      </c>
      <c r="F21" s="5">
        <f t="shared" si="4"/>
        <v>5.7457457457457455</v>
      </c>
      <c r="H21" s="1" t="s">
        <v>34</v>
      </c>
      <c r="I21" s="1" t="s">
        <v>35</v>
      </c>
      <c r="J21" s="2">
        <v>19.972000000000001</v>
      </c>
      <c r="K21" s="3">
        <v>0.38100000000000001</v>
      </c>
      <c r="L21" s="5">
        <f t="shared" si="5"/>
        <v>19.076707390346485</v>
      </c>
    </row>
    <row r="22" spans="2:12" x14ac:dyDescent="0.3">
      <c r="B22" s="1" t="s">
        <v>23</v>
      </c>
      <c r="C22" s="1" t="s">
        <v>22</v>
      </c>
      <c r="D22" s="2">
        <v>19.975000000000001</v>
      </c>
      <c r="E22" s="3">
        <v>0.1148</v>
      </c>
      <c r="F22" s="5">
        <f t="shared" si="4"/>
        <v>5.7471839799749675</v>
      </c>
      <c r="H22" s="1" t="s">
        <v>35</v>
      </c>
      <c r="I22" s="1" t="s">
        <v>34</v>
      </c>
      <c r="J22" s="2">
        <v>19.948</v>
      </c>
      <c r="K22" s="3">
        <v>0.38069999999999998</v>
      </c>
      <c r="L22" s="5">
        <f t="shared" si="5"/>
        <v>19.08462001203128</v>
      </c>
    </row>
    <row r="23" spans="2:12" x14ac:dyDescent="0.3">
      <c r="B23" s="12" t="s">
        <v>18</v>
      </c>
      <c r="C23" s="12"/>
      <c r="D23" s="12"/>
      <c r="E23" s="12"/>
      <c r="F23" s="5">
        <f>AVERAGE(F19:F22)</f>
        <v>5.747068977865295</v>
      </c>
      <c r="H23" s="12" t="s">
        <v>18</v>
      </c>
      <c r="I23" s="12"/>
      <c r="J23" s="12"/>
      <c r="K23" s="12"/>
      <c r="L23" s="5">
        <f>AVERAGE(L19:L22)</f>
        <v>19.081255368931387</v>
      </c>
    </row>
  </sheetData>
  <mergeCells count="14">
    <mergeCell ref="B23:E23"/>
    <mergeCell ref="H23:K23"/>
    <mergeCell ref="N9:O9"/>
    <mergeCell ref="N10:O10"/>
    <mergeCell ref="B15:E15"/>
    <mergeCell ref="H15:K15"/>
    <mergeCell ref="B17:F17"/>
    <mergeCell ref="H17:L17"/>
    <mergeCell ref="B1:F1"/>
    <mergeCell ref="H1:L1"/>
    <mergeCell ref="B7:E7"/>
    <mergeCell ref="H7:K7"/>
    <mergeCell ref="B9:F9"/>
    <mergeCell ref="H9:L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6BF21507648848BD124B16B11842AD" ma:contentTypeVersion="12" ma:contentTypeDescription="Een nieuw document maken." ma:contentTypeScope="" ma:versionID="9467cea59b74aa7e5f74ebfb8bbdb8f1">
  <xsd:schema xmlns:xsd="http://www.w3.org/2001/XMLSchema" xmlns:xs="http://www.w3.org/2001/XMLSchema" xmlns:p="http://schemas.microsoft.com/office/2006/metadata/properties" xmlns:ns2="eba63d4d-64a8-4ac3-bbd0-72adb5e2b6f5" xmlns:ns3="38b55455-17e3-4044-a10a-603e212c8ee4" targetNamespace="http://schemas.microsoft.com/office/2006/metadata/properties" ma:root="true" ma:fieldsID="c8d74c736ba7d922c81f481784137af0" ns2:_="" ns3:_="">
    <xsd:import namespace="eba63d4d-64a8-4ac3-bbd0-72adb5e2b6f5"/>
    <xsd:import namespace="38b55455-17e3-4044-a10a-603e212c8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63d4d-64a8-4ac3-bbd0-72adb5e2b6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55455-17e3-4044-a10a-603e212c8ee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a6d8785-7515-4d49-8dc4-552c1ca7c530}" ma:internalName="TaxCatchAll" ma:showField="CatchAllData" ma:web="38b55455-17e3-4044-a10a-603e212c8e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b55455-17e3-4044-a10a-603e212c8ee4" xsi:nil="true"/>
    <lcf76f155ced4ddcb4097134ff3c332f xmlns="eba63d4d-64a8-4ac3-bbd0-72adb5e2b6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4891B3-3812-4E2C-B0BB-779E2397D726}"/>
</file>

<file path=customXml/itemProps2.xml><?xml version="1.0" encoding="utf-8"?>
<ds:datastoreItem xmlns:ds="http://schemas.openxmlformats.org/officeDocument/2006/customXml" ds:itemID="{77F1F560-FCFD-4B6C-8836-0689C8C4B861}"/>
</file>

<file path=customXml/itemProps3.xml><?xml version="1.0" encoding="utf-8"?>
<ds:datastoreItem xmlns:ds="http://schemas.openxmlformats.org/officeDocument/2006/customXml" ds:itemID="{AEBCCD36-8DF1-46BF-9E74-117C1B79E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16</vt:i4>
      </vt:variant>
    </vt:vector>
  </HeadingPairs>
  <TitlesOfParts>
    <vt:vector size="16" baseType="lpstr">
      <vt:lpstr>No_sample</vt:lpstr>
      <vt:lpstr>W2Al2_up</vt:lpstr>
      <vt:lpstr>W2Al2_down</vt:lpstr>
      <vt:lpstr>W2Cu3_up</vt:lpstr>
      <vt:lpstr>W2Cu3_down</vt:lpstr>
      <vt:lpstr>W2Al4_down</vt:lpstr>
      <vt:lpstr>W2Al5_up</vt:lpstr>
      <vt:lpstr>W2Al5_down</vt:lpstr>
      <vt:lpstr>W2Al6_up</vt:lpstr>
      <vt:lpstr>W2Al6_down</vt:lpstr>
      <vt:lpstr>W2Al7_up</vt:lpstr>
      <vt:lpstr>W2Al7_down</vt:lpstr>
      <vt:lpstr>W2Al8_up</vt:lpstr>
      <vt:lpstr>W2Al8_down</vt:lpstr>
      <vt:lpstr>W2Al9_up</vt:lpstr>
      <vt:lpstr>W2Al9_down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Aleksander Stachurski</dc:creator>
  <cp:lastModifiedBy>Aleksander Stachurski</cp:lastModifiedBy>
  <dcterms:created xsi:type="dcterms:W3CDTF">2015-06-05T18:17:20Z</dcterms:created>
  <dcterms:modified xsi:type="dcterms:W3CDTF">2026-04-08T12:03:56Z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0x010100DA6BF21507648848BD124B16B11842AD</vt:lpwstr>
  </property>
</Properties>
</file>